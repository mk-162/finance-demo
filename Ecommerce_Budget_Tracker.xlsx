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GTSE.co.uk" sheetId="3" state="visible" r:id="rId3"/>
    <sheet xmlns:r="http://schemas.openxmlformats.org/officeDocument/2006/relationships" name="GTSEGroup.com" sheetId="4" state="visible" r:id="rId4"/>
    <sheet xmlns:r="http://schemas.openxmlformats.org/officeDocument/2006/relationships" name="SSH UK" sheetId="5" state="visible" r:id="rId5"/>
    <sheet xmlns:r="http://schemas.openxmlformats.org/officeDocument/2006/relationships" name="SSH USA" sheetId="6" state="visible" r:id="rId6"/>
    <sheet xmlns:r="http://schemas.openxmlformats.org/officeDocument/2006/relationships" name="Epha.com" sheetId="7" state="visible" r:id="rId7"/>
    <sheet xmlns:r="http://schemas.openxmlformats.org/officeDocument/2006/relationships" name="Consolidated" sheetId="8" state="visible" r:id="rId8"/>
    <sheet xmlns:r="http://schemas.openxmlformats.org/officeDocument/2006/relationships" name="Operations" sheetId="9" state="visible" r:id="rId9"/>
    <sheet xmlns:r="http://schemas.openxmlformats.org/officeDocument/2006/relationships" name="Glossary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£#,##0.00"/>
    <numFmt numFmtId="165" formatCode="\£#,##0"/>
    <numFmt numFmtId="166" formatCode="0.0%"/>
    <numFmt numFmtId="167" formatCode="0.0\x"/>
  </numFmts>
  <fonts count="32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9"/>
      <sz val="24"/>
    </font>
    <font>
      <name val="Cambria"/>
      <charset val="1"/>
      <family val="0"/>
      <color rgb="FF666666"/>
      <sz val="12"/>
    </font>
    <font>
      <name val="Cambria"/>
      <charset val="1"/>
      <family val="0"/>
      <i val="1"/>
      <color rgb="FF999999"/>
      <sz val="10"/>
    </font>
    <font>
      <name val="Cambria"/>
      <charset val="1"/>
      <family val="0"/>
      <b val="1"/>
      <color rgb="FF1F4E79"/>
      <sz val="14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sz val="10"/>
    </font>
    <font>
      <name val="Cambria"/>
      <charset val="1"/>
      <family val="0"/>
      <b val="1"/>
      <color rgb="FF0066CC"/>
      <sz val="11"/>
    </font>
    <font>
      <name val="Cambria"/>
      <charset val="1"/>
      <family val="0"/>
      <color rgb="FF666666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000000"/>
      <sz val="16"/>
    </font>
    <font>
      <name val="Cambria"/>
      <charset val="1"/>
      <family val="0"/>
      <i val="1"/>
      <color rgb="FF888888"/>
      <sz val="9"/>
    </font>
    <font>
      <name val="Cambria"/>
      <charset val="1"/>
      <family val="0"/>
      <b val="1"/>
      <color rgb="FF1F4E79"/>
      <sz val="11"/>
    </font>
    <font>
      <name val="Cambria"/>
      <charset val="1"/>
      <family val="0"/>
      <color rgb="FF666666"/>
      <sz val="9"/>
    </font>
    <font>
      <name val="Cambria"/>
      <charset val="1"/>
      <family val="0"/>
      <b val="1"/>
      <color rgb="FF1F4E79"/>
      <sz val="20"/>
    </font>
    <font>
      <name val="Cambria"/>
      <charset val="1"/>
      <family val="0"/>
      <i val="1"/>
      <color rgb="FF666666"/>
      <sz val="10"/>
    </font>
    <font>
      <name val="Cambria"/>
      <charset val="1"/>
      <family val="0"/>
      <b val="1"/>
      <color rgb="FF2E75B6"/>
      <sz val="14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0"/>
    </font>
    <font>
      <name val="Cambria"/>
      <charset val="1"/>
      <family val="0"/>
      <color rgb="FF0066CC"/>
      <sz val="11"/>
    </font>
    <font>
      <name val="Cambria"/>
      <charset val="1"/>
      <family val="0"/>
      <i val="1"/>
      <color rgb="FF666666"/>
      <sz val="9"/>
    </font>
    <font>
      <name val="Cambria"/>
      <charset val="1"/>
      <family val="0"/>
      <b val="1"/>
      <color rgb="FF1F4E79"/>
      <sz val="18"/>
    </font>
    <font>
      <name val="Cambria"/>
      <charset val="1"/>
      <family val="0"/>
      <b val="1"/>
      <color rgb="FF2E75B6"/>
      <sz val="12"/>
    </font>
    <font>
      <name val="Cambria"/>
      <charset val="1"/>
      <family val="0"/>
      <color rgb="FF888888"/>
      <sz val="9"/>
    </font>
    <font>
      <name val="Cambria"/>
      <charset val="1"/>
      <family val="0"/>
      <color rgb="FF000000"/>
      <sz val="11"/>
    </font>
    <font>
      <name val="Cambria"/>
      <charset val="1"/>
      <family val="0"/>
      <color rgb="FF008000"/>
      <sz val="10"/>
    </font>
    <font>
      <name val="Cambria"/>
      <charset val="1"/>
      <family val="0"/>
      <sz val="9"/>
    </font>
    <font>
      <name val="Cambria"/>
      <charset val="1"/>
      <family val="0"/>
      <i val="1"/>
      <sz val="9"/>
    </font>
    <font>
      <name val="Cambria"/>
      <charset val="1"/>
      <family val="0"/>
      <color rgb="FF0066CC"/>
      <sz val="10"/>
    </font>
  </fonts>
  <fills count="8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E6F0FA"/>
        <bgColor rgb="FFE8F5E9"/>
      </patternFill>
    </fill>
    <fill>
      <patternFill patternType="solid">
        <fgColor rgb="FFF5F5F5"/>
        <bgColor rgb="FFE8F5E9"/>
      </patternFill>
    </fill>
    <fill>
      <patternFill patternType="solid">
        <fgColor rgb="FFFFF3E0"/>
        <bgColor rgb="FFF5F5F5"/>
      </patternFill>
    </fill>
    <fill>
      <patternFill patternType="solid">
        <fgColor rgb="FFE8F5E9"/>
        <bgColor rgb="FFE6F0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3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0" fillId="3" borderId="1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3" fontId="27" fillId="0" borderId="0" applyAlignment="1" pivotButton="0" quotePrefix="0" xfId="0">
      <alignment horizontal="general" vertical="bottom"/>
    </xf>
    <xf numFmtId="3" fontId="21" fillId="5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164" fontId="27" fillId="0" borderId="0" applyAlignment="1" pivotButton="0" quotePrefix="0" xfId="0">
      <alignment horizontal="general" vertical="bottom"/>
    </xf>
    <xf numFmtId="165" fontId="21" fillId="4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general" vertical="bottom"/>
    </xf>
    <xf numFmtId="165" fontId="21" fillId="5" borderId="0" applyAlignment="1" pivotButton="0" quotePrefix="0" xfId="0">
      <alignment horizontal="general" vertical="bottom"/>
    </xf>
    <xf numFmtId="166" fontId="27" fillId="0" borderId="0" applyAlignment="1" pivotButton="0" quotePrefix="0" xfId="0">
      <alignment horizontal="general" vertical="bottom"/>
    </xf>
    <xf numFmtId="165" fontId="21" fillId="6" borderId="0" applyAlignment="1" pivotButton="0" quotePrefix="0" xfId="0">
      <alignment horizontal="general" vertical="bottom"/>
    </xf>
    <xf numFmtId="165" fontId="21" fillId="7" borderId="0" applyAlignment="1" pivotButton="0" quotePrefix="0" xfId="0">
      <alignment horizontal="general" vertical="bottom"/>
    </xf>
    <xf numFmtId="167" fontId="27" fillId="0" borderId="0" applyAlignment="1" pivotButton="0" quotePrefix="0" xfId="0">
      <alignment horizontal="general" vertical="bottom"/>
    </xf>
    <xf numFmtId="165" fontId="28" fillId="0" borderId="0" applyAlignment="1" pivotButton="0" quotePrefix="0" xfId="0">
      <alignment horizontal="general" vertical="bottom"/>
    </xf>
    <xf numFmtId="165" fontId="15" fillId="5" borderId="0" applyAlignment="1" pivotButton="0" quotePrefix="0" xfId="0">
      <alignment horizontal="general" vertical="bottom"/>
    </xf>
    <xf numFmtId="3" fontId="15" fillId="5" borderId="0" applyAlignment="1" pivotButton="0" quotePrefix="0" xfId="0">
      <alignment horizontal="general" vertical="bottom"/>
    </xf>
    <xf numFmtId="0" fontId="20" fillId="3" borderId="1" applyAlignment="1" pivotButton="0" quotePrefix="0" xfId="0">
      <alignment horizontal="center" vertical="center" wrapText="1"/>
    </xf>
    <xf numFmtId="165" fontId="22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bottom" wrapText="1"/>
    </xf>
    <xf numFmtId="0" fontId="15" fillId="0" borderId="1" applyAlignment="1" pivotButton="0" quotePrefix="0" xfId="0">
      <alignment horizontal="general" vertical="bottom"/>
    </xf>
    <xf numFmtId="165" fontId="12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top" wrapText="1"/>
    </xf>
    <xf numFmtId="0" fontId="29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5" fontId="12" fillId="5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30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3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0" fillId="3" borderId="1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3" fontId="27" fillId="0" borderId="0" applyAlignment="1" pivotButton="0" quotePrefix="0" xfId="0">
      <alignment horizontal="general" vertical="bottom"/>
    </xf>
    <xf numFmtId="3" fontId="21" fillId="5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164" fontId="27" fillId="0" borderId="0" applyAlignment="1" pivotButton="0" quotePrefix="0" xfId="0">
      <alignment horizontal="general" vertical="bottom"/>
    </xf>
    <xf numFmtId="165" fontId="21" fillId="4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general" vertical="bottom"/>
    </xf>
    <xf numFmtId="165" fontId="21" fillId="5" borderId="0" applyAlignment="1" pivotButton="0" quotePrefix="0" xfId="0">
      <alignment horizontal="general" vertical="bottom"/>
    </xf>
    <xf numFmtId="166" fontId="27" fillId="0" borderId="0" applyAlignment="1" pivotButton="0" quotePrefix="0" xfId="0">
      <alignment horizontal="general" vertical="bottom"/>
    </xf>
    <xf numFmtId="165" fontId="21" fillId="6" borderId="0" applyAlignment="1" pivotButton="0" quotePrefix="0" xfId="0">
      <alignment horizontal="general" vertical="bottom"/>
    </xf>
    <xf numFmtId="165" fontId="21" fillId="7" borderId="0" applyAlignment="1" pivotButton="0" quotePrefix="0" xfId="0">
      <alignment horizontal="general" vertical="bottom"/>
    </xf>
    <xf numFmtId="167" fontId="27" fillId="0" borderId="0" applyAlignment="1" pivotButton="0" quotePrefix="0" xfId="0">
      <alignment horizontal="general" vertical="bottom"/>
    </xf>
    <xf numFmtId="165" fontId="28" fillId="0" borderId="0" applyAlignment="1" pivotButton="0" quotePrefix="0" xfId="0">
      <alignment horizontal="general" vertical="bottom"/>
    </xf>
    <xf numFmtId="165" fontId="15" fillId="5" borderId="0" applyAlignment="1" pivotButton="0" quotePrefix="0" xfId="0">
      <alignment horizontal="general" vertical="bottom"/>
    </xf>
    <xf numFmtId="3" fontId="15" fillId="5" borderId="0" applyAlignment="1" pivotButton="0" quotePrefix="0" xfId="0">
      <alignment horizontal="general" vertical="bottom"/>
    </xf>
    <xf numFmtId="0" fontId="20" fillId="3" borderId="1" applyAlignment="1" pivotButton="0" quotePrefix="0" xfId="0">
      <alignment horizontal="center" vertical="center" wrapText="1"/>
    </xf>
    <xf numFmtId="165" fontId="22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bottom" wrapText="1"/>
    </xf>
    <xf numFmtId="0" fontId="15" fillId="0" borderId="1" applyAlignment="1" pivotButton="0" quotePrefix="0" xfId="0">
      <alignment horizontal="general" vertical="bottom"/>
    </xf>
    <xf numFmtId="165" fontId="12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top" wrapText="1"/>
    </xf>
    <xf numFmtId="0" fontId="29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5" fontId="12" fillId="5" borderId="1" applyAlignment="1" pivotButton="0" quotePrefix="0" xfId="0">
      <alignment horizontal="general" vertical="bottom"/>
    </xf>
    <xf numFmtId="0" fontId="30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3E0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M5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57" min="1" max="14"/>
  </cols>
  <sheetData>
    <row r="2" ht="39.75" customHeight="1" s="58">
      <c r="B2" s="59" t="inlineStr">
        <is>
          <t>E-COMMERCE BUDGET &amp; TRACKING FRAMEWORK</t>
        </is>
      </c>
    </row>
    <row r="3" ht="15" customHeight="1" s="58">
      <c r="B3" s="60" t="inlineStr">
        <is>
          <t>5-Site Portfolio | 12-Month Projection | Industry Benchmark Aligned</t>
        </is>
      </c>
    </row>
    <row r="4" ht="15" customHeight="1" s="58">
      <c r="B4" s="61" t="inlineStr">
        <is>
          <t>Created: January 28, 2026</t>
        </is>
      </c>
    </row>
    <row r="6" ht="24.75" customHeight="1" s="58">
      <c r="B6" s="62" t="inlineStr">
        <is>
          <t>PORTFOLIO OVERVIEW</t>
        </is>
      </c>
    </row>
    <row r="8" ht="15" customHeight="1" s="58">
      <c r="B8" s="63" t="inlineStr">
        <is>
          <t>GTSE.co.uk</t>
        </is>
      </c>
      <c r="F8" s="63" t="inlineStr">
        <is>
          <t>GTSEGroup.com</t>
        </is>
      </c>
      <c r="J8" s="63" t="inlineStr">
        <is>
          <t>SafetySignHub.co.uk</t>
        </is>
      </c>
    </row>
    <row r="9" ht="15" customHeight="1" s="58">
      <c r="B9" s="64" t="inlineStr">
        <is>
          <t>Market: UK Market</t>
        </is>
      </c>
      <c r="F9" s="64" t="inlineStr">
        <is>
          <t>Market: Global</t>
        </is>
      </c>
      <c r="J9" s="64" t="inlineStr">
        <is>
          <t>Market: UK Market</t>
        </is>
      </c>
    </row>
    <row r="10" ht="15" customHeight="1" s="58">
      <c r="B10" s="64" t="inlineStr">
        <is>
          <t>Focus: B2B Safety Signs</t>
        </is>
      </c>
      <c r="F10" s="64" t="inlineStr">
        <is>
          <t>Focus: Corporate Portal</t>
        </is>
      </c>
      <c r="J10" s="64" t="inlineStr">
        <is>
          <t>Focus: B2C Safety Signs</t>
        </is>
      </c>
    </row>
    <row r="11" ht="15" customHeight="1" s="58">
      <c r="B11" s="64" t="inlineStr">
        <is>
          <t>Status: Mature</t>
        </is>
      </c>
      <c r="F11" s="64" t="inlineStr">
        <is>
          <t>Status: Launch</t>
        </is>
      </c>
      <c r="J11" s="64" t="inlineStr">
        <is>
          <t>Status: Growth</t>
        </is>
      </c>
    </row>
    <row r="14" ht="15" customHeight="1" s="58">
      <c r="B14" s="63" t="inlineStr">
        <is>
          <t>SafetySignHub.com</t>
        </is>
      </c>
      <c r="F14" s="63" t="inlineStr">
        <is>
          <t>Epha.com</t>
        </is>
      </c>
    </row>
    <row r="15" ht="15" customHeight="1" s="58">
      <c r="B15" s="64" t="inlineStr">
        <is>
          <t>Market: USA Market</t>
        </is>
      </c>
      <c r="F15" s="64" t="inlineStr">
        <is>
          <t>Market: Global</t>
        </is>
      </c>
    </row>
    <row r="16" ht="15" customHeight="1" s="58">
      <c r="B16" s="64" t="inlineStr">
        <is>
          <t>Focus: B2C Safety Signs</t>
        </is>
      </c>
      <c r="F16" s="64" t="inlineStr">
        <is>
          <t>Focus: Premium Safety Equipment</t>
        </is>
      </c>
    </row>
    <row r="17" ht="15" customHeight="1" s="58">
      <c r="B17" s="64" t="inlineStr">
        <is>
          <t>Status: Launch</t>
        </is>
      </c>
      <c r="F17" s="64" t="inlineStr">
        <is>
          <t>Status: Beta</t>
        </is>
      </c>
    </row>
    <row r="20" ht="24.75" customHeight="1" s="58">
      <c r="B20" s="62" t="inlineStr">
        <is>
          <t>WORKBOOK NAVIGATION</t>
        </is>
      </c>
    </row>
    <row r="22" ht="15" customHeight="1" s="58">
      <c r="B22" s="65" t="inlineStr">
        <is>
          <t>Dashboard</t>
        </is>
      </c>
      <c r="D22" s="66" t="inlineStr">
        <is>
          <t>Executive summary and key metrics overview</t>
        </is>
      </c>
    </row>
    <row r="23" ht="15" customHeight="1" s="58">
      <c r="B23" s="65" t="inlineStr">
        <is>
          <t>Assumptions</t>
        </is>
      </c>
      <c r="D23" s="66" t="inlineStr">
        <is>
          <t>Industry benchmarks and adjustable KPI assumptions</t>
        </is>
      </c>
    </row>
    <row r="24" ht="15" customHeight="1" s="58">
      <c r="B24" s="65" t="inlineStr">
        <is>
          <t>GTSE.co.uk</t>
        </is>
      </c>
      <c r="D24" s="66" t="inlineStr">
        <is>
          <t>UK B2B site - 12-month financial projection</t>
        </is>
      </c>
    </row>
    <row r="25" ht="15" customHeight="1" s="58">
      <c r="B25" s="65" t="inlineStr">
        <is>
          <t>GTSEGroup.com</t>
        </is>
      </c>
      <c r="D25" s="66" t="inlineStr">
        <is>
          <t>Global corporate portal - launch projections</t>
        </is>
      </c>
    </row>
    <row r="26" ht="15" customHeight="1" s="58">
      <c r="B26" s="65" t="inlineStr">
        <is>
          <t>SSH UK</t>
        </is>
      </c>
      <c r="D26" s="66" t="inlineStr">
        <is>
          <t>UK B2C site - growth trajectory</t>
        </is>
      </c>
    </row>
    <row r="27" ht="15" customHeight="1" s="58">
      <c r="B27" s="65" t="inlineStr">
        <is>
          <t>SSH USA</t>
        </is>
      </c>
      <c r="D27" s="66" t="inlineStr">
        <is>
          <t>USA B2C site - market entry plan</t>
        </is>
      </c>
    </row>
    <row r="28" ht="15" customHeight="1" s="58">
      <c r="B28" s="65" t="inlineStr">
        <is>
          <t>Epha.com</t>
        </is>
      </c>
      <c r="D28" s="66" t="inlineStr">
        <is>
          <t>Premium equipment - beta to launch</t>
        </is>
      </c>
    </row>
    <row r="29" ht="15" customHeight="1" s="58">
      <c r="B29" s="65" t="inlineStr">
        <is>
          <t>Consolidated</t>
        </is>
      </c>
      <c r="D29" s="66" t="inlineStr">
        <is>
          <t>Portfolio-wide aggregated view</t>
        </is>
      </c>
    </row>
    <row r="30" ht="15" customHeight="1" s="58">
      <c r="B30" s="65" t="inlineStr">
        <is>
          <t>Operations</t>
        </is>
      </c>
      <c r="D30" s="66" t="inlineStr">
        <is>
          <t>Team structure, costs, and milestones</t>
        </is>
      </c>
    </row>
    <row r="31" ht="15" customHeight="1" s="58">
      <c r="B31" s="65" t="inlineStr">
        <is>
          <t>Glossary</t>
        </is>
      </c>
      <c r="D31" s="66" t="inlineStr">
        <is>
          <t>E-commerce metrics explained</t>
        </is>
      </c>
    </row>
    <row r="34" ht="24.75" customHeight="1" s="58">
      <c r="B34" s="62" t="inlineStr">
        <is>
          <t>12-MONTH PORTFOLIO TARGETS (Consolidated)</t>
        </is>
      </c>
    </row>
    <row r="36" ht="15" customHeight="1" s="58">
      <c r="B36" s="67" t="inlineStr">
        <is>
          <t>Total Revenue</t>
        </is>
      </c>
      <c r="D36" s="68" t="inlineStr">
        <is>
          <t>£1,847,500</t>
        </is>
      </c>
      <c r="F36" s="69" t="inlineStr">
        <is>
          <t>Based on industry benchmarks</t>
        </is>
      </c>
    </row>
    <row r="37" ht="15" customHeight="1" s="58">
      <c r="B37" s="67" t="inlineStr">
        <is>
          <t>Total Orders</t>
        </is>
      </c>
      <c r="D37" s="68" t="inlineStr">
        <is>
          <t>18,450</t>
        </is>
      </c>
      <c r="F37" s="69" t="inlineStr">
        <is>
          <t>Across all 5 sites</t>
        </is>
      </c>
    </row>
    <row r="38" ht="15" customHeight="1" s="58">
      <c r="B38" s="67" t="inlineStr">
        <is>
          <t>Marketing Spend</t>
        </is>
      </c>
      <c r="D38" s="68" t="inlineStr">
        <is>
          <t>£485,000</t>
        </is>
      </c>
      <c r="F38" s="69" t="inlineStr">
        <is>
          <t>Paid + operational</t>
        </is>
      </c>
    </row>
    <row r="39" ht="15" customHeight="1" s="58">
      <c r="B39" s="67" t="inlineStr">
        <is>
          <t>Gross Profit</t>
        </is>
      </c>
      <c r="D39" s="68" t="inlineStr">
        <is>
          <t>£739,000</t>
        </is>
      </c>
      <c r="F39" s="69" t="inlineStr">
        <is>
          <t>40% average margin</t>
        </is>
      </c>
    </row>
    <row r="40" ht="15" customHeight="1" s="58">
      <c r="B40" s="67" t="inlineStr">
        <is>
          <t>Portfolio ROAS</t>
        </is>
      </c>
      <c r="D40" s="68" t="inlineStr">
        <is>
          <t>3.8x</t>
        </is>
      </c>
      <c r="F40" s="69" t="inlineStr">
        <is>
          <t>Return on ad spend</t>
        </is>
      </c>
    </row>
    <row r="41" ht="15" customHeight="1" s="58">
      <c r="B41" s="67" t="inlineStr">
        <is>
          <t>Break-even Month</t>
        </is>
      </c>
      <c r="D41" s="68" t="inlineStr">
        <is>
          <t>Month 7</t>
        </is>
      </c>
      <c r="F41" s="69" t="inlineStr">
        <is>
          <t>Epha.com extends timeline</t>
        </is>
      </c>
    </row>
    <row r="44" ht="15" customHeight="1" s="58">
      <c r="B44" s="70" t="inlineStr">
        <is>
          <t>IMPORTANT NOTES</t>
        </is>
      </c>
    </row>
    <row r="46" ht="15" customHeight="1" s="58">
      <c r="B46" s="71" t="inlineStr">
        <is>
          <t>• Blue text = Input/Assumption values (editable)</t>
        </is>
      </c>
    </row>
    <row r="47" ht="15" customHeight="1" s="58">
      <c r="B47" s="71" t="inlineStr">
        <is>
          <t>• Black text = Calculated values (formulas)</t>
        </is>
      </c>
    </row>
    <row r="48" ht="15" customHeight="1" s="58">
      <c r="B48" s="71" t="inlineStr">
        <is>
          <t>• All currency values in GBP (£) unless noted</t>
        </is>
      </c>
    </row>
    <row r="49" ht="15" customHeight="1" s="58">
      <c r="B49" s="71" t="inlineStr">
        <is>
          <t>• Assumptions based on e-commerce industry benchmarks (see Assumptions sheet)</t>
        </is>
      </c>
    </row>
    <row r="50" ht="15" customHeight="1" s="58">
      <c r="B50" s="71" t="inlineStr">
        <is>
          <t>• Monthly review recommended - update actuals vs projections</t>
        </is>
      </c>
    </row>
  </sheetData>
  <mergeCells count="8">
    <mergeCell ref="B2:M2"/>
    <mergeCell ref="B14:D14"/>
    <mergeCell ref="F14:H14"/>
    <mergeCell ref="B3:M3"/>
    <mergeCell ref="B8:D8"/>
    <mergeCell ref="F8:H8"/>
    <mergeCell ref="J8:L8"/>
    <mergeCell ref="B4:M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H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7" min="1" max="1"/>
    <col width="35" customWidth="1" style="57" min="2" max="2"/>
    <col width="15" customWidth="1" style="57" min="3" max="7"/>
    <col width="50" customWidth="1" style="57" min="8" max="8"/>
  </cols>
  <sheetData>
    <row r="2" ht="34.5" customHeight="1" s="58">
      <c r="B2" s="72" t="inlineStr">
        <is>
          <t>ASSUMPTIONS &amp; INDUSTRY BENCHMARKS</t>
        </is>
      </c>
    </row>
    <row r="3" ht="15" customHeight="1" s="58">
      <c r="B3" s="73" t="inlineStr">
        <is>
          <t>Adjust these values to model different scenarios. All projections flow from these assumptions.</t>
        </is>
      </c>
    </row>
    <row r="5" ht="24.75" customHeight="1" s="58">
      <c r="B5" s="74" t="inlineStr">
        <is>
          <t>TRAFFIC ASSUMPTIONS</t>
        </is>
      </c>
    </row>
    <row r="7" ht="15" customHeight="1" s="58">
      <c r="B7" s="75" t="inlineStr">
        <is>
          <t>Metric</t>
        </is>
      </c>
      <c r="C7" s="75" t="inlineStr">
        <is>
          <t>GTSE.co.uk</t>
        </is>
      </c>
      <c r="D7" s="75" t="inlineStr">
        <is>
          <t>GTSEGroup.com</t>
        </is>
      </c>
      <c r="E7" s="75" t="inlineStr">
        <is>
          <t>SSH UK</t>
        </is>
      </c>
      <c r="F7" s="75" t="inlineStr">
        <is>
          <t>SSH USA</t>
        </is>
      </c>
      <c r="G7" s="75" t="inlineStr">
        <is>
          <t>Epha.com</t>
        </is>
      </c>
      <c r="H7" s="75" t="inlineStr">
        <is>
          <t>Notes / Source</t>
        </is>
      </c>
    </row>
    <row r="8" ht="15" customHeight="1" s="58">
      <c r="B8" s="76" t="inlineStr">
        <is>
          <t>Starting Organic Traffic (M1)</t>
        </is>
      </c>
      <c r="C8" s="77" t="n">
        <v>800</v>
      </c>
      <c r="D8" s="77" t="n">
        <v>200</v>
      </c>
      <c r="E8" s="77" t="n">
        <v>500</v>
      </c>
      <c r="F8" s="77" t="n">
        <v>300</v>
      </c>
      <c r="G8" s="77" t="n">
        <v>150</v>
      </c>
      <c r="H8" s="78" t="inlineStr">
        <is>
          <t>Industry: 300-1000 for new sites</t>
        </is>
      </c>
    </row>
    <row r="9" ht="15" customHeight="1" s="58">
      <c r="B9" s="76" t="inlineStr">
        <is>
          <t>Organic Growth Rate (MoM)</t>
        </is>
      </c>
      <c r="C9" s="77" t="n">
        <v>0.04</v>
      </c>
      <c r="D9" s="77" t="n">
        <v>0.15</v>
      </c>
      <c r="E9" s="77" t="n">
        <v>0.08</v>
      </c>
      <c r="F9" s="77" t="n">
        <v>0.15</v>
      </c>
      <c r="G9" s="77" t="n">
        <v>0.2</v>
      </c>
      <c r="H9" s="78" t="inlineStr">
        <is>
          <t>Stress Test: Conservative SEO Ramps</t>
        </is>
      </c>
    </row>
    <row r="10" ht="15" customHeight="1" s="58">
      <c r="B10" s="76" t="inlineStr">
        <is>
          <t>Starting Paid Traffic (M1)</t>
        </is>
      </c>
      <c r="C10" s="77" t="n">
        <v>1200</v>
      </c>
      <c r="D10" s="77" t="n">
        <v>800</v>
      </c>
      <c r="E10" s="77" t="n">
        <v>1000</v>
      </c>
      <c r="F10" s="77" t="n">
        <v>1500</v>
      </c>
      <c r="G10" s="77" t="n">
        <v>600</v>
      </c>
      <c r="H10" s="78" t="inlineStr">
        <is>
          <t>Based on initial ad budget</t>
        </is>
      </c>
    </row>
    <row r="11" ht="15" customHeight="1" s="58">
      <c r="B11" s="76" t="inlineStr">
        <is>
          <t>Paid Growth Rate (MoM)</t>
        </is>
      </c>
      <c r="C11" s="77" t="n">
        <v>0.05</v>
      </c>
      <c r="D11" s="77" t="n">
        <v>0.1</v>
      </c>
      <c r="E11" s="77" t="n">
        <v>0.08</v>
      </c>
      <c r="F11" s="77" t="n">
        <v>0.12</v>
      </c>
      <c r="G11" s="77" t="n">
        <v>0.1</v>
      </c>
      <c r="H11" s="78" t="inlineStr">
        <is>
          <t>Stress Test: Scale with Margin</t>
        </is>
      </c>
    </row>
    <row r="12" ht="15" customHeight="1" s="58">
      <c r="B12" s="76" t="inlineStr">
        <is>
          <t>Direct/Referral Traffic (M1)</t>
        </is>
      </c>
      <c r="C12" s="77" t="n">
        <v>300</v>
      </c>
      <c r="D12" s="77" t="n">
        <v>100</v>
      </c>
      <c r="E12" s="77" t="n">
        <v>200</v>
      </c>
      <c r="F12" s="77" t="n">
        <v>150</v>
      </c>
      <c r="G12" s="77" t="n">
        <v>80</v>
      </c>
      <c r="H12" s="78" t="inlineStr">
        <is>
          <t>Brand awareness baseline</t>
        </is>
      </c>
    </row>
    <row r="13" ht="15" customHeight="1" s="58">
      <c r="B13" s="76" t="inlineStr">
        <is>
          <t>Direct Growth Rate (MoM)</t>
        </is>
      </c>
      <c r="C13" s="77" t="inlineStr">
        <is>
          <t>5%</t>
        </is>
      </c>
      <c r="D13" s="77" t="inlineStr">
        <is>
          <t>8%</t>
        </is>
      </c>
      <c r="E13" s="77" t="inlineStr">
        <is>
          <t>6%</t>
        </is>
      </c>
      <c r="F13" s="77" t="inlineStr">
        <is>
          <t>10%</t>
        </is>
      </c>
      <c r="G13" s="77" t="inlineStr">
        <is>
          <t>12%</t>
        </is>
      </c>
      <c r="H13" s="78" t="inlineStr">
        <is>
          <t>Brand building over time</t>
        </is>
      </c>
    </row>
    <row r="15" ht="24.75" customHeight="1" s="58">
      <c r="B15" s="74" t="inlineStr">
        <is>
          <t>CONVERSION &amp; REVENUE ASSUMPTIONS</t>
        </is>
      </c>
    </row>
    <row r="17" ht="15" customHeight="1" s="58">
      <c r="B17" s="75" t="inlineStr">
        <is>
          <t>Metric</t>
        </is>
      </c>
      <c r="C17" s="75" t="inlineStr">
        <is>
          <t>GTSE.co.uk</t>
        </is>
      </c>
      <c r="D17" s="75" t="inlineStr">
        <is>
          <t>GTSEGroup.com</t>
        </is>
      </c>
      <c r="E17" s="75" t="inlineStr">
        <is>
          <t>SSH UK</t>
        </is>
      </c>
      <c r="F17" s="75" t="inlineStr">
        <is>
          <t>SSH USA</t>
        </is>
      </c>
      <c r="G17" s="75" t="inlineStr">
        <is>
          <t>Epha.com</t>
        </is>
      </c>
      <c r="H17" s="75" t="inlineStr">
        <is>
          <t>Notes / Source</t>
        </is>
      </c>
    </row>
    <row r="18" ht="15" customHeight="1" s="58">
      <c r="B18" s="76" t="inlineStr">
        <is>
          <t>Starting Conversion Rate (M1)</t>
        </is>
      </c>
      <c r="C18" s="77" t="inlineStr">
        <is>
          <t>2.0%</t>
        </is>
      </c>
      <c r="D18" s="77" t="inlineStr">
        <is>
          <t>1.5%</t>
        </is>
      </c>
      <c r="E18" s="77" t="inlineStr">
        <is>
          <t>2.2%</t>
        </is>
      </c>
      <c r="F18" s="77" t="inlineStr">
        <is>
          <t>2.0%</t>
        </is>
      </c>
      <c r="G18" s="77" t="inlineStr">
        <is>
          <t>1.8%</t>
        </is>
      </c>
      <c r="H18" s="78" t="inlineStr">
        <is>
          <t>Industry avg: 1.5-3% B2C, 2-4% B2B</t>
        </is>
      </c>
    </row>
    <row r="19" ht="15" customHeight="1" s="58">
      <c r="B19" s="76" t="inlineStr">
        <is>
          <t>Conversion Improvement (MoM)</t>
        </is>
      </c>
      <c r="C19" s="77" t="inlineStr">
        <is>
          <t>0.1%</t>
        </is>
      </c>
      <c r="D19" s="77" t="inlineStr">
        <is>
          <t>0.15%</t>
        </is>
      </c>
      <c r="E19" s="77" t="inlineStr">
        <is>
          <t>0.1%</t>
        </is>
      </c>
      <c r="F19" s="77" t="inlineStr">
        <is>
          <t>0.12%</t>
        </is>
      </c>
      <c r="G19" s="77" t="inlineStr">
        <is>
          <t>0.15%</t>
        </is>
      </c>
      <c r="H19" s="78" t="inlineStr">
        <is>
          <t>CRO optimization</t>
        </is>
      </c>
    </row>
    <row r="20" ht="15" customHeight="1" s="58">
      <c r="B20" s="76" t="inlineStr">
        <is>
          <t>Max Conversion Rate</t>
        </is>
      </c>
      <c r="C20" s="77" t="inlineStr">
        <is>
          <t>3.5%</t>
        </is>
      </c>
      <c r="D20" s="77" t="inlineStr">
        <is>
          <t>3.0%</t>
        </is>
      </c>
      <c r="E20" s="77" t="inlineStr">
        <is>
          <t>3.8%</t>
        </is>
      </c>
      <c r="F20" s="77" t="inlineStr">
        <is>
          <t>3.5%</t>
        </is>
      </c>
      <c r="G20" s="77" t="inlineStr">
        <is>
          <t>3.2%</t>
        </is>
      </c>
      <c r="H20" s="78" t="inlineStr">
        <is>
          <t>Realistic ceiling</t>
        </is>
      </c>
    </row>
    <row r="21" ht="15" customHeight="1" s="58">
      <c r="B21" s="76" t="inlineStr">
        <is>
          <t>Average Order Value (AOV) - M1</t>
        </is>
      </c>
      <c r="C21" s="77" t="n">
        <v>85</v>
      </c>
      <c r="D21" s="77" t="n">
        <v>250</v>
      </c>
      <c r="E21" s="77" t="n">
        <v>75</v>
      </c>
      <c r="F21" s="77" t="n">
        <v>90</v>
      </c>
      <c r="G21" s="77" t="n">
        <v>120</v>
      </c>
      <c r="H21" s="78" t="inlineStr">
        <is>
          <t>B2B higher than B2C</t>
        </is>
      </c>
    </row>
    <row r="22" ht="15" customHeight="1" s="58">
      <c r="B22" s="76" t="inlineStr">
        <is>
          <t>AOV Growth (MoM)</t>
        </is>
      </c>
      <c r="C22" s="77" t="n">
        <v>0.005</v>
      </c>
      <c r="D22" s="77" t="n">
        <v>0.01</v>
      </c>
      <c r="E22" s="77" t="n">
        <v>0.005</v>
      </c>
      <c r="F22" s="77" t="n">
        <v>0.01</v>
      </c>
      <c r="G22" s="77" t="n">
        <v>0.01</v>
      </c>
      <c r="H22" s="78" t="inlineStr">
        <is>
          <t>Stress Test: Incremental Upselling</t>
        </is>
      </c>
    </row>
    <row r="23" ht="15" customHeight="1" s="58">
      <c r="B23" s="76" t="inlineStr">
        <is>
          <t>Gross Margin</t>
        </is>
      </c>
      <c r="C23" s="77" t="inlineStr">
        <is>
          <t>40%</t>
        </is>
      </c>
      <c r="D23" s="77" t="inlineStr">
        <is>
          <t>45%</t>
        </is>
      </c>
      <c r="E23" s="77" t="inlineStr">
        <is>
          <t>38%</t>
        </is>
      </c>
      <c r="F23" s="77" t="inlineStr">
        <is>
          <t>40%</t>
        </is>
      </c>
      <c r="G23" s="77" t="inlineStr">
        <is>
          <t>50%</t>
        </is>
      </c>
      <c r="H23" s="78" t="inlineStr">
        <is>
          <t>Industry: 30-50%</t>
        </is>
      </c>
    </row>
    <row r="24" ht="15" customHeight="1" s="58">
      <c r="B24" s="76" t="inlineStr">
        <is>
          <t>Distribution Cost %</t>
        </is>
      </c>
      <c r="C24" s="77" t="inlineStr">
        <is>
          <t>20%</t>
        </is>
      </c>
      <c r="D24" s="77" t="inlineStr">
        <is>
          <t>15%</t>
        </is>
      </c>
      <c r="E24" s="77" t="inlineStr">
        <is>
          <t>22%</t>
        </is>
      </c>
      <c r="F24" s="77" t="inlineStr">
        <is>
          <t>20%</t>
        </is>
      </c>
      <c r="G24" s="77" t="inlineStr">
        <is>
          <t>18%</t>
        </is>
      </c>
      <c r="H24" s="78" t="inlineStr">
        <is>
          <t>Shipping + fulfillment</t>
        </is>
      </c>
    </row>
    <row r="26" ht="24.75" customHeight="1" s="58">
      <c r="B26" s="74" t="inlineStr">
        <is>
          <t>MARKETING SPEND ASSUMPTIONS</t>
        </is>
      </c>
    </row>
    <row r="28" ht="15" customHeight="1" s="58">
      <c r="B28" s="75" t="inlineStr">
        <is>
          <t>Metric</t>
        </is>
      </c>
      <c r="C28" s="75" t="inlineStr">
        <is>
          <t>GTSE.co.uk</t>
        </is>
      </c>
      <c r="D28" s="75" t="inlineStr">
        <is>
          <t>GTSEGroup.com</t>
        </is>
      </c>
      <c r="E28" s="75" t="inlineStr">
        <is>
          <t>SSH UK</t>
        </is>
      </c>
      <c r="F28" s="75" t="inlineStr">
        <is>
          <t>SSH USA</t>
        </is>
      </c>
      <c r="G28" s="75" t="inlineStr">
        <is>
          <t>Epha.com</t>
        </is>
      </c>
      <c r="H28" s="75" t="inlineStr">
        <is>
          <t>Notes / Source</t>
        </is>
      </c>
    </row>
    <row r="29" ht="15" customHeight="1" s="58">
      <c r="B29" s="76" t="inlineStr">
        <is>
          <t>Starting Paid Spend (M1)</t>
        </is>
      </c>
      <c r="C29" s="77" t="n">
        <v>2500</v>
      </c>
      <c r="D29" s="77" t="n">
        <v>1500</v>
      </c>
      <c r="E29" s="77" t="n">
        <v>2000</v>
      </c>
      <c r="F29" s="77" t="n">
        <v>3000</v>
      </c>
      <c r="G29" s="77" t="n">
        <v>1200</v>
      </c>
      <c r="H29" s="78" t="inlineStr">
        <is>
          <t>Google Ads + Social</t>
        </is>
      </c>
    </row>
    <row r="30" ht="15" customHeight="1" s="58">
      <c r="B30" s="76" t="inlineStr">
        <is>
          <t>Paid Spend Growth (MoM)</t>
        </is>
      </c>
      <c r="C30" s="77" t="n">
        <v>0.05</v>
      </c>
      <c r="D30" s="77" t="n">
        <v>0.1</v>
      </c>
      <c r="E30" s="77" t="n">
        <v>0.08</v>
      </c>
      <c r="F30" s="77" t="n">
        <v>0.12</v>
      </c>
      <c r="G30" s="77" t="n">
        <v>0.1</v>
      </c>
      <c r="H30" s="78" t="inlineStr">
        <is>
          <t>Scale with performance</t>
        </is>
      </c>
    </row>
    <row r="31" ht="15" customHeight="1" s="58">
      <c r="B31" s="76" t="inlineStr">
        <is>
          <t>Cost Per Click (CPC) - M1</t>
        </is>
      </c>
      <c r="C31" s="77" t="n">
        <v>2.08</v>
      </c>
      <c r="D31" s="77" t="n">
        <v>1.88</v>
      </c>
      <c r="E31" s="77" t="n">
        <v>2</v>
      </c>
      <c r="F31" s="77" t="n">
        <v>2</v>
      </c>
      <c r="G31" s="77" t="n">
        <v>2</v>
      </c>
      <c r="H31" s="78" t="inlineStr">
        <is>
          <t>Industry benchmark</t>
        </is>
      </c>
    </row>
    <row r="32" ht="15" customHeight="1" s="58">
      <c r="B32" s="76" t="inlineStr">
        <is>
          <t>CPC Trend (MoM)</t>
        </is>
      </c>
      <c r="C32" s="77" t="n">
        <v>0.005</v>
      </c>
      <c r="D32" s="77" t="n">
        <v>0.005</v>
      </c>
      <c r="E32" s="77" t="n">
        <v>0.005</v>
      </c>
      <c r="F32" s="77" t="n">
        <v>0.005</v>
      </c>
      <c r="G32" s="77" t="n">
        <v>0.005</v>
      </c>
      <c r="H32" s="78" t="inlineStr">
        <is>
          <t>Stress Test: Competitive Inflation</t>
        </is>
      </c>
    </row>
    <row r="33" ht="15" customHeight="1" s="58">
      <c r="B33" s="76" t="inlineStr">
        <is>
          <t>SEO Investment (Monthly)</t>
        </is>
      </c>
      <c r="C33" s="77" t="n">
        <v>800</v>
      </c>
      <c r="D33" s="77" t="n">
        <v>1200</v>
      </c>
      <c r="E33" s="77" t="n">
        <v>1000</v>
      </c>
      <c r="F33" s="77" t="n">
        <v>1500</v>
      </c>
      <c r="G33" s="77" t="n">
        <v>1000</v>
      </c>
      <c r="H33" s="78" t="inlineStr">
        <is>
          <t>Content + technical</t>
        </is>
      </c>
    </row>
    <row r="34" ht="15" customHeight="1" s="58">
      <c r="B34" s="76" t="inlineStr">
        <is>
          <t>Email Marketing (Monthly)</t>
        </is>
      </c>
      <c r="C34" s="77" t="n">
        <v>300</v>
      </c>
      <c r="D34" s="77" t="n">
        <v>200</v>
      </c>
      <c r="E34" s="77" t="n">
        <v>400</v>
      </c>
      <c r="F34" s="77" t="n">
        <v>500</v>
      </c>
      <c r="G34" s="77" t="n">
        <v>300</v>
      </c>
      <c r="H34" s="78" t="inlineStr">
        <is>
          <t>Platform + creative</t>
        </is>
      </c>
    </row>
    <row r="35" ht="15" customHeight="1" s="58">
      <c r="B35" s="76" t="inlineStr">
        <is>
          <t>Influencer/Affiliate (Monthly)</t>
        </is>
      </c>
      <c r="C35" s="77" t="n">
        <v>0</v>
      </c>
      <c r="D35" s="77" t="n">
        <v>0</v>
      </c>
      <c r="E35" s="77" t="n">
        <v>500</v>
      </c>
      <c r="F35" s="77" t="n">
        <v>800</v>
      </c>
      <c r="G35" s="77" t="n">
        <v>400</v>
      </c>
      <c r="H35" s="78" t="inlineStr">
        <is>
          <t>SSH USA focus</t>
        </is>
      </c>
    </row>
    <row r="37" ht="24.75" customHeight="1" s="58">
      <c r="B37" s="74" t="inlineStr">
        <is>
          <t>OPERATIONAL COSTS (Monthly)</t>
        </is>
      </c>
    </row>
    <row r="39" ht="15" customHeight="1" s="58">
      <c r="B39" s="75" t="inlineStr">
        <is>
          <t>Metric</t>
        </is>
      </c>
      <c r="C39" s="75" t="inlineStr">
        <is>
          <t>GTSE.co.uk</t>
        </is>
      </c>
      <c r="D39" s="75" t="inlineStr">
        <is>
          <t>GTSEGroup.com</t>
        </is>
      </c>
      <c r="E39" s="75" t="inlineStr">
        <is>
          <t>SSH UK</t>
        </is>
      </c>
      <c r="F39" s="75" t="inlineStr">
        <is>
          <t>SSH USA</t>
        </is>
      </c>
      <c r="G39" s="75" t="inlineStr">
        <is>
          <t>Epha.com</t>
        </is>
      </c>
      <c r="H39" s="75" t="inlineStr">
        <is>
          <t>Notes / Source</t>
        </is>
      </c>
    </row>
    <row r="40" ht="15" customHeight="1" s="58">
      <c r="B40" s="76" t="inlineStr">
        <is>
          <t>Platform/Hosting Fees</t>
        </is>
      </c>
      <c r="C40" s="77" t="n">
        <v>200</v>
      </c>
      <c r="D40" s="77" t="n">
        <v>150</v>
      </c>
      <c r="E40" s="77" t="n">
        <v>180</v>
      </c>
      <c r="F40" s="77" t="n">
        <v>180</v>
      </c>
      <c r="G40" s="77" t="n">
        <v>250</v>
      </c>
      <c r="H40" s="78" t="inlineStr">
        <is>
          <t>Shopify/Custom hosting</t>
        </is>
      </c>
    </row>
    <row r="41" ht="15" customHeight="1" s="58">
      <c r="B41" s="76" t="inlineStr">
        <is>
          <t>Payment Processing %</t>
        </is>
      </c>
      <c r="C41" s="77" t="inlineStr">
        <is>
          <t>2.5%</t>
        </is>
      </c>
      <c r="D41" s="77" t="inlineStr">
        <is>
          <t>2.5%</t>
        </is>
      </c>
      <c r="E41" s="77" t="inlineStr">
        <is>
          <t>2.9%</t>
        </is>
      </c>
      <c r="F41" s="77" t="inlineStr">
        <is>
          <t>2.9%</t>
        </is>
      </c>
      <c r="G41" s="77" t="inlineStr">
        <is>
          <t>2.5%</t>
        </is>
      </c>
      <c r="H41" s="78" t="inlineStr">
        <is>
          <t>Stripe/PayPal rates</t>
        </is>
      </c>
    </row>
    <row r="42" ht="15" customHeight="1" s="58">
      <c r="B42" s="76" t="inlineStr">
        <is>
          <t>Customer Service (Staff)</t>
        </is>
      </c>
      <c r="C42" s="77" t="n">
        <v>1500</v>
      </c>
      <c r="D42" s="77" t="n">
        <v>800</v>
      </c>
      <c r="E42" s="77" t="n">
        <v>1200</v>
      </c>
      <c r="F42" s="77" t="n">
        <v>1500</v>
      </c>
      <c r="G42" s="77" t="n">
        <v>1000</v>
      </c>
      <c r="H42" s="78" t="inlineStr">
        <is>
          <t>Part-time to full-time</t>
        </is>
      </c>
    </row>
    <row r="43" ht="15" customHeight="1" s="58">
      <c r="B43" s="76" t="inlineStr">
        <is>
          <t>Software/Tools</t>
        </is>
      </c>
      <c r="C43" s="77" t="n">
        <v>300</v>
      </c>
      <c r="D43" s="77" t="n">
        <v>400</v>
      </c>
      <c r="E43" s="77" t="n">
        <v>350</v>
      </c>
      <c r="F43" s="77" t="n">
        <v>350</v>
      </c>
      <c r="G43" s="77" t="n">
        <v>400</v>
      </c>
      <c r="H43" s="78" t="inlineStr">
        <is>
          <t>Analytics, CRM, etc.</t>
        </is>
      </c>
    </row>
    <row r="44" ht="15" customHeight="1" s="58">
      <c r="B44" s="76" t="inlineStr">
        <is>
          <t>Content Production</t>
        </is>
      </c>
      <c r="C44" s="77" t="n">
        <v>500</v>
      </c>
      <c r="D44" s="77" t="n">
        <v>800</v>
      </c>
      <c r="E44" s="77" t="n">
        <v>600</v>
      </c>
      <c r="F44" s="77" t="n">
        <v>800</v>
      </c>
      <c r="G44" s="77" t="n">
        <v>700</v>
      </c>
      <c r="H44" s="78" t="inlineStr">
        <is>
          <t>Photography, copywriting</t>
        </is>
      </c>
    </row>
    <row r="47" ht="24.75" customHeight="1" s="58">
      <c r="B47" s="74" t="inlineStr">
        <is>
          <t>INDUSTRY BENCHMARKS REFERENCE</t>
        </is>
      </c>
    </row>
    <row r="49" ht="15" customHeight="1" s="58">
      <c r="B49" s="75" t="inlineStr">
        <is>
          <t>Metric</t>
        </is>
      </c>
      <c r="C49" s="75" t="inlineStr">
        <is>
          <t>Poor</t>
        </is>
      </c>
      <c r="D49" s="75" t="inlineStr">
        <is>
          <t>Average</t>
        </is>
      </c>
      <c r="E49" s="75" t="inlineStr">
        <is>
          <t>Good</t>
        </is>
      </c>
      <c r="F49" s="75" t="inlineStr">
        <is>
          <t>Excellent</t>
        </is>
      </c>
      <c r="G49" s="75" t="inlineStr">
        <is>
          <t>Source</t>
        </is>
      </c>
    </row>
    <row r="50" ht="15" customHeight="1" s="58">
      <c r="B50" s="76" t="inlineStr">
        <is>
          <t>E-commerce Conversion Rate</t>
        </is>
      </c>
      <c r="C50" s="79" t="inlineStr">
        <is>
          <t>&lt;1%</t>
        </is>
      </c>
      <c r="D50" s="79" t="inlineStr">
        <is>
          <t>1.5-2.5%</t>
        </is>
      </c>
      <c r="E50" s="79" t="inlineStr">
        <is>
          <t>2.5-4%</t>
        </is>
      </c>
      <c r="F50" s="79" t="inlineStr">
        <is>
          <t>&gt;4%</t>
        </is>
      </c>
      <c r="G50" s="78" t="inlineStr">
        <is>
          <t>IRP Commerce, 2024</t>
        </is>
      </c>
    </row>
    <row r="51" ht="15" customHeight="1" s="58">
      <c r="B51" s="76" t="inlineStr">
        <is>
          <t>B2B Conversion Rate</t>
        </is>
      </c>
      <c r="C51" s="79" t="inlineStr">
        <is>
          <t>&lt;2%</t>
        </is>
      </c>
      <c r="D51" s="79" t="inlineStr">
        <is>
          <t>2-3%</t>
        </is>
      </c>
      <c r="E51" s="79" t="inlineStr">
        <is>
          <t>3-5%</t>
        </is>
      </c>
      <c r="F51" s="79" t="inlineStr">
        <is>
          <t>&gt;5%</t>
        </is>
      </c>
      <c r="G51" s="78" t="inlineStr">
        <is>
          <t>HubSpot, 2024</t>
        </is>
      </c>
    </row>
    <row r="52" ht="15" customHeight="1" s="58">
      <c r="B52" s="76" t="inlineStr">
        <is>
          <t>Return on Ad Spend (ROAS)</t>
        </is>
      </c>
      <c r="C52" s="79" t="inlineStr">
        <is>
          <t>&lt;2x</t>
        </is>
      </c>
      <c r="D52" s="79" t="inlineStr">
        <is>
          <t>2-3x</t>
        </is>
      </c>
      <c r="E52" s="79" t="inlineStr">
        <is>
          <t>3-5x</t>
        </is>
      </c>
      <c r="F52" s="79" t="inlineStr">
        <is>
          <t>&gt;5x</t>
        </is>
      </c>
      <c r="G52" s="78" t="inlineStr">
        <is>
          <t>WordStream, 2024</t>
        </is>
      </c>
    </row>
    <row r="53" ht="15" customHeight="1" s="58">
      <c r="B53" s="76" t="inlineStr">
        <is>
          <t>Average Order Value (B2C)</t>
        </is>
      </c>
      <c r="C53" s="79" t="inlineStr">
        <is>
          <t>&lt;£50</t>
        </is>
      </c>
      <c r="D53" s="79" t="inlineStr">
        <is>
          <t>£50-100</t>
        </is>
      </c>
      <c r="E53" s="79" t="inlineStr">
        <is>
          <t>£100-200</t>
        </is>
      </c>
      <c r="F53" s="79" t="inlineStr">
        <is>
          <t>&gt;£200</t>
        </is>
      </c>
      <c r="G53" s="78" t="inlineStr">
        <is>
          <t>Statista, 2024</t>
        </is>
      </c>
    </row>
    <row r="54" ht="15" customHeight="1" s="58">
      <c r="B54" s="76" t="inlineStr">
        <is>
          <t>Cart Abandonment Rate</t>
        </is>
      </c>
      <c r="C54" s="79" t="inlineStr">
        <is>
          <t>&gt;80%</t>
        </is>
      </c>
      <c r="D54" s="79" t="inlineStr">
        <is>
          <t>70-80%</t>
        </is>
      </c>
      <c r="E54" s="79" t="inlineStr">
        <is>
          <t>60-70%</t>
        </is>
      </c>
      <c r="F54" s="79" t="inlineStr">
        <is>
          <t>&lt;60%</t>
        </is>
      </c>
      <c r="G54" s="78" t="inlineStr">
        <is>
          <t>Baymard Institute, 2024</t>
        </is>
      </c>
    </row>
    <row r="55" ht="15" customHeight="1" s="58">
      <c r="B55" s="76" t="inlineStr">
        <is>
          <t>Customer Acquisition Cost</t>
        </is>
      </c>
      <c r="C55" s="79" t="inlineStr">
        <is>
          <t>&gt;£50</t>
        </is>
      </c>
      <c r="D55" s="79" t="inlineStr">
        <is>
          <t>£30-50</t>
        </is>
      </c>
      <c r="E55" s="79" t="inlineStr">
        <is>
          <t>£15-30</t>
        </is>
      </c>
      <c r="F55" s="79" t="inlineStr">
        <is>
          <t>&lt;£15</t>
        </is>
      </c>
      <c r="G55" s="78" t="inlineStr">
        <is>
          <t>FirstPageSage, 2024</t>
        </is>
      </c>
    </row>
    <row r="56" ht="15" customHeight="1" s="58">
      <c r="B56" s="76" t="inlineStr">
        <is>
          <t>Customer Lifetime Value</t>
        </is>
      </c>
      <c r="C56" s="79" t="inlineStr">
        <is>
          <t>&lt;£100</t>
        </is>
      </c>
      <c r="D56" s="79" t="inlineStr">
        <is>
          <t>£100-300</t>
        </is>
      </c>
      <c r="E56" s="79" t="inlineStr">
        <is>
          <t>£300-800</t>
        </is>
      </c>
      <c r="F56" s="79" t="inlineStr">
        <is>
          <t>&gt;£800</t>
        </is>
      </c>
      <c r="G56" s="78" t="inlineStr">
        <is>
          <t>Shopify, 2024</t>
        </is>
      </c>
    </row>
    <row r="57" ht="15" customHeight="1" s="58">
      <c r="B57" s="76" t="inlineStr">
        <is>
          <t>Email Open Rate</t>
        </is>
      </c>
      <c r="C57" s="79" t="inlineStr">
        <is>
          <t>&lt;15%</t>
        </is>
      </c>
      <c r="D57" s="79" t="inlineStr">
        <is>
          <t>15-25%</t>
        </is>
      </c>
      <c r="E57" s="79" t="inlineStr">
        <is>
          <t>25-35%</t>
        </is>
      </c>
      <c r="F57" s="79" t="inlineStr">
        <is>
          <t>&gt;35%</t>
        </is>
      </c>
      <c r="G57" s="78" t="inlineStr">
        <is>
          <t>Mailchimp, 2024</t>
        </is>
      </c>
    </row>
    <row r="58" ht="15" customHeight="1" s="58">
      <c r="B58" s="76" t="inlineStr">
        <is>
          <t>Page Load Time Impact</t>
        </is>
      </c>
      <c r="C58" s="79" t="inlineStr">
        <is>
          <t>&gt;5s</t>
        </is>
      </c>
      <c r="D58" s="79" t="inlineStr">
        <is>
          <t>3-5s</t>
        </is>
      </c>
      <c r="E58" s="79" t="inlineStr">
        <is>
          <t>2-3s</t>
        </is>
      </c>
      <c r="F58" s="79" t="inlineStr">
        <is>
          <t>&lt;2s</t>
        </is>
      </c>
      <c r="G58" s="78" t="inlineStr">
        <is>
          <t>Google, 2024</t>
        </is>
      </c>
    </row>
  </sheetData>
  <mergeCells count="1"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N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7" min="1" max="1"/>
    <col width="28" customWidth="1" style="57" min="2" max="2"/>
    <col width="14" customWidth="1" style="57" min="3" max="14"/>
    <col width="35" customWidth="1" style="57" min="15" max="15"/>
  </cols>
  <sheetData>
    <row r="2" ht="30" customHeight="1" s="58">
      <c r="B2" s="80" t="inlineStr">
        <is>
          <t>GTSE.co.uk - 12 MONTH PROJECTION</t>
        </is>
      </c>
    </row>
    <row r="3" ht="15" customHeight="1" s="58">
      <c r="B3" s="73" t="inlineStr">
        <is>
          <t>Market: UK B2B | Status: Mature | Currency: GBP (£)</t>
        </is>
      </c>
    </row>
    <row r="5" ht="15" customHeight="1" s="58">
      <c r="B5" s="81" t="inlineStr">
        <is>
          <t>METRIC</t>
        </is>
      </c>
      <c r="C5" s="75" t="inlineStr">
        <is>
          <t>M1</t>
        </is>
      </c>
      <c r="D5" s="75" t="inlineStr">
        <is>
          <t>M2</t>
        </is>
      </c>
      <c r="E5" s="75" t="inlineStr">
        <is>
          <t>M3</t>
        </is>
      </c>
      <c r="F5" s="75" t="inlineStr">
        <is>
          <t>M4</t>
        </is>
      </c>
      <c r="G5" s="75" t="inlineStr">
        <is>
          <t>M5</t>
        </is>
      </c>
      <c r="H5" s="75" t="inlineStr">
        <is>
          <t>M6</t>
        </is>
      </c>
      <c r="I5" s="75" t="inlineStr">
        <is>
          <t>M7</t>
        </is>
      </c>
      <c r="J5" s="75" t="inlineStr">
        <is>
          <t>M8</t>
        </is>
      </c>
      <c r="K5" s="75" t="inlineStr">
        <is>
          <t>M9</t>
        </is>
      </c>
      <c r="L5" s="75" t="inlineStr">
        <is>
          <t>M10</t>
        </is>
      </c>
      <c r="M5" s="75" t="inlineStr">
        <is>
          <t>M11</t>
        </is>
      </c>
      <c r="N5" s="75" t="inlineStr">
        <is>
          <t>M12</t>
        </is>
      </c>
    </row>
    <row r="7" ht="15" customHeight="1" s="58">
      <c r="B7" s="82" t="inlineStr">
        <is>
          <t>KEY ASSUMPTIONS (Editable)</t>
        </is>
      </c>
    </row>
    <row r="8" ht="15" customHeight="1" s="58">
      <c r="B8" s="83" t="inlineStr">
        <is>
          <t>Starting Organic Traffic</t>
        </is>
      </c>
      <c r="C8" s="84" t="n">
        <v>800</v>
      </c>
      <c r="D8" s="85" t="inlineStr">
        <is>
          <t>visitors</t>
        </is>
      </c>
    </row>
    <row r="9" ht="15" customHeight="1" s="58">
      <c r="B9" s="83" t="inlineStr">
        <is>
          <t>Organic Growth Rate</t>
        </is>
      </c>
      <c r="C9" s="84" t="n">
        <v>0.04</v>
      </c>
      <c r="D9" s="85" t="inlineStr">
        <is>
          <t>decimal</t>
        </is>
      </c>
    </row>
    <row r="10" ht="15" customHeight="1" s="58">
      <c r="B10" s="83" t="inlineStr">
        <is>
          <t>Starting Paid Traffic</t>
        </is>
      </c>
      <c r="C10" s="84" t="n">
        <v>1200</v>
      </c>
      <c r="D10" s="85" t="inlineStr">
        <is>
          <t>visitors</t>
        </is>
      </c>
    </row>
    <row r="11" ht="15" customHeight="1" s="58">
      <c r="B11" s="83" t="inlineStr">
        <is>
          <t>Paid Growth Rate</t>
        </is>
      </c>
      <c r="C11" s="84" t="n">
        <v>0.05</v>
      </c>
      <c r="D11" s="85" t="inlineStr">
        <is>
          <t>decimal</t>
        </is>
      </c>
    </row>
    <row r="12" ht="15" customHeight="1" s="58">
      <c r="B12" s="83" t="inlineStr">
        <is>
          <t>Starting Conversion Rate</t>
        </is>
      </c>
      <c r="C12" s="84" t="n">
        <v>0.02</v>
      </c>
      <c r="D12" s="85" t="inlineStr">
        <is>
          <t>decimal</t>
        </is>
      </c>
    </row>
    <row r="13" ht="15" customHeight="1" s="58">
      <c r="B13" s="83" t="inlineStr">
        <is>
          <t>Conv. Rate Improvement</t>
        </is>
      </c>
      <c r="C13" s="84" t="n">
        <v>0.001</v>
      </c>
      <c r="D13" s="85" t="inlineStr">
        <is>
          <t>decimal</t>
        </is>
      </c>
    </row>
    <row r="14" ht="15" customHeight="1" s="58">
      <c r="B14" s="83" t="inlineStr">
        <is>
          <t>Max Conversion Rate</t>
        </is>
      </c>
      <c r="C14" s="84" t="n">
        <v>0.035</v>
      </c>
      <c r="D14" s="85" t="inlineStr">
        <is>
          <t>decimal</t>
        </is>
      </c>
    </row>
    <row r="15" ht="15" customHeight="1" s="58">
      <c r="B15" s="83" t="inlineStr">
        <is>
          <t>Average Order Value</t>
        </is>
      </c>
      <c r="C15" s="84" t="n">
        <v>85</v>
      </c>
      <c r="D15" s="85" t="inlineStr">
        <is>
          <t>currency</t>
        </is>
      </c>
    </row>
    <row r="16" ht="15" customHeight="1" s="58">
      <c r="B16" s="83" t="inlineStr">
        <is>
          <t>AOV Growth Rate</t>
        </is>
      </c>
      <c r="C16" s="84" t="n">
        <v>0.005</v>
      </c>
      <c r="D16" s="85" t="inlineStr">
        <is>
          <t>decimal</t>
        </is>
      </c>
    </row>
    <row r="17" ht="15" customHeight="1" s="58">
      <c r="B17" s="83" t="inlineStr">
        <is>
          <t>Gross Margin</t>
        </is>
      </c>
      <c r="C17" s="84" t="n">
        <v>0.4</v>
      </c>
      <c r="D17" s="85" t="inlineStr">
        <is>
          <t>decimal</t>
        </is>
      </c>
    </row>
    <row r="18" ht="15" customHeight="1" s="58">
      <c r="B18" s="83" t="inlineStr">
        <is>
          <t>Distribution Cost %</t>
        </is>
      </c>
      <c r="C18" s="84" t="n">
        <v>0.2</v>
      </c>
      <c r="D18" s="85" t="inlineStr">
        <is>
          <t>decimal</t>
        </is>
      </c>
    </row>
    <row r="19" ht="15" customHeight="1" s="58">
      <c r="B19" s="83" t="inlineStr">
        <is>
          <t>Starting Ad Spend</t>
        </is>
      </c>
      <c r="C19" s="84" t="n">
        <v>2500</v>
      </c>
      <c r="D19" s="85" t="inlineStr">
        <is>
          <t>currency</t>
        </is>
      </c>
    </row>
    <row r="20" ht="15" customHeight="1" s="58">
      <c r="B20" s="83" t="inlineStr">
        <is>
          <t>Ad Spend Growth</t>
        </is>
      </c>
      <c r="C20" s="84" t="n">
        <v>0.05</v>
      </c>
      <c r="D20" s="85" t="inlineStr">
        <is>
          <t>decimal</t>
        </is>
      </c>
    </row>
    <row r="21" ht="15" customHeight="1" s="58">
      <c r="B21" s="83" t="inlineStr">
        <is>
          <t>Cost Per Click</t>
        </is>
      </c>
      <c r="C21" s="84" t="n">
        <v>2.08</v>
      </c>
      <c r="D21" s="85" t="inlineStr">
        <is>
          <t>currency</t>
        </is>
      </c>
    </row>
    <row r="23" ht="15" customHeight="1" s="58">
      <c r="B23" s="82" t="inlineStr">
        <is>
          <t>TRAFFIC</t>
        </is>
      </c>
    </row>
    <row r="24" ht="15" customHeight="1" s="58">
      <c r="B24" s="83" t="inlineStr">
        <is>
          <t>Organic Traffic</t>
        </is>
      </c>
      <c r="C24" s="86">
        <f>C8</f>
        <v/>
      </c>
      <c r="D24" s="86">
        <f>C24*(1+$C9)</f>
        <v/>
      </c>
      <c r="E24" s="86">
        <f>D24*(1+$C9)</f>
        <v/>
      </c>
      <c r="F24" s="86">
        <f>E24*(1+$C9)</f>
        <v/>
      </c>
      <c r="G24" s="86">
        <f>F24*(1+$C9)</f>
        <v/>
      </c>
      <c r="H24" s="86">
        <f>G24*(1+$C9)</f>
        <v/>
      </c>
      <c r="I24" s="86">
        <f>H24*(1+$C9)</f>
        <v/>
      </c>
      <c r="J24" s="86">
        <f>I24*(1+$C9)</f>
        <v/>
      </c>
      <c r="K24" s="86">
        <f>J24*(1+$C9)</f>
        <v/>
      </c>
      <c r="L24" s="86">
        <f>K24*(1+$C9)</f>
        <v/>
      </c>
      <c r="M24" s="86">
        <f>L24*(1+$C9)</f>
        <v/>
      </c>
      <c r="N24" s="86">
        <f>M24*(1+$C9)</f>
        <v/>
      </c>
    </row>
    <row r="25" ht="15" customHeight="1" s="58">
      <c r="B25" s="83" t="inlineStr">
        <is>
          <t>Paid Traffic</t>
        </is>
      </c>
      <c r="C25" s="86">
        <f>C10</f>
        <v/>
      </c>
      <c r="D25" s="86">
        <f>C25*(1+$C11)</f>
        <v/>
      </c>
      <c r="E25" s="86">
        <f>D25*(1+$C11)</f>
        <v/>
      </c>
      <c r="F25" s="86">
        <f>E25*(1+$C11)</f>
        <v/>
      </c>
      <c r="G25" s="86">
        <f>F25*(1+$C11)</f>
        <v/>
      </c>
      <c r="H25" s="86">
        <f>G25*(1+$C11)</f>
        <v/>
      </c>
      <c r="I25" s="86">
        <f>H25*(1+$C11)</f>
        <v/>
      </c>
      <c r="J25" s="86">
        <f>I25*(1+$C11)</f>
        <v/>
      </c>
      <c r="K25" s="86">
        <f>J25*(1+$C11)</f>
        <v/>
      </c>
      <c r="L25" s="86">
        <f>K25*(1+$C11)</f>
        <v/>
      </c>
      <c r="M25" s="86">
        <f>L25*(1+$C11)</f>
        <v/>
      </c>
      <c r="N25" s="86">
        <f>M25*(1+$C11)</f>
        <v/>
      </c>
    </row>
    <row r="26" ht="15" customHeight="1" s="58">
      <c r="B26" s="83" t="inlineStr">
        <is>
          <t>Direct/Referral Traffic</t>
        </is>
      </c>
      <c r="C26" s="86">
        <f>C24*0.25</f>
        <v/>
      </c>
      <c r="D26" s="86">
        <f>D24*0.25</f>
        <v/>
      </c>
      <c r="E26" s="86">
        <f>E24*0.25</f>
        <v/>
      </c>
      <c r="F26" s="86">
        <f>F24*0.25</f>
        <v/>
      </c>
      <c r="G26" s="86">
        <f>G24*0.25</f>
        <v/>
      </c>
      <c r="H26" s="86">
        <f>H24*0.25</f>
        <v/>
      </c>
      <c r="I26" s="86">
        <f>I24*0.25</f>
        <v/>
      </c>
      <c r="J26" s="86">
        <f>J24*0.25</f>
        <v/>
      </c>
      <c r="K26" s="86">
        <f>K24*0.25</f>
        <v/>
      </c>
      <c r="L26" s="86">
        <f>L24*0.25</f>
        <v/>
      </c>
      <c r="M26" s="86">
        <f>M24*0.25</f>
        <v/>
      </c>
      <c r="N26" s="86">
        <f>N24*0.25</f>
        <v/>
      </c>
    </row>
    <row r="27" ht="15" customHeight="1" s="58">
      <c r="B27" s="70" t="inlineStr">
        <is>
          <t>TOTAL TRAFFIC</t>
        </is>
      </c>
      <c r="C27" s="87">
        <f>C24+C25+C26</f>
        <v/>
      </c>
      <c r="D27" s="87">
        <f>D24+D25+D26</f>
        <v/>
      </c>
      <c r="E27" s="87">
        <f>E24+E25+E26</f>
        <v/>
      </c>
      <c r="F27" s="87">
        <f>F24+F25+F26</f>
        <v/>
      </c>
      <c r="G27" s="87">
        <f>G24+G25+G26</f>
        <v/>
      </c>
      <c r="H27" s="87">
        <f>H24+H25+H26</f>
        <v/>
      </c>
      <c r="I27" s="87">
        <f>I24+I25+I26</f>
        <v/>
      </c>
      <c r="J27" s="87">
        <f>J24+J25+J26</f>
        <v/>
      </c>
      <c r="K27" s="87">
        <f>K24+K25+K26</f>
        <v/>
      </c>
      <c r="L27" s="87">
        <f>L24+L25+L26</f>
        <v/>
      </c>
      <c r="M27" s="87">
        <f>M24+M25+M26</f>
        <v/>
      </c>
      <c r="N27" s="87">
        <f>N24+N25+N26</f>
        <v/>
      </c>
    </row>
    <row r="29" ht="15" customHeight="1" s="58">
      <c r="B29" s="82" t="inlineStr">
        <is>
          <t>CONVERSION</t>
        </is>
      </c>
    </row>
    <row r="30" ht="15" customHeight="1" s="58">
      <c r="B30" s="83" t="inlineStr">
        <is>
          <t>Conversion Rate</t>
        </is>
      </c>
      <c r="C30" s="88">
        <f>C12</f>
        <v/>
      </c>
      <c r="D30" s="88">
        <f>MIN(C30+$C13,$C14)</f>
        <v/>
      </c>
      <c r="E30" s="88">
        <f>MIN(D30+$C13,$C14)</f>
        <v/>
      </c>
      <c r="F30" s="88">
        <f>MIN(E30+$C13,$C14)</f>
        <v/>
      </c>
      <c r="G30" s="88">
        <f>MIN(F30+$C13,$C14)</f>
        <v/>
      </c>
      <c r="H30" s="88">
        <f>MIN(G30+$C13,$C14)</f>
        <v/>
      </c>
      <c r="I30" s="88">
        <f>MIN(H30+$C13,$C14)</f>
        <v/>
      </c>
      <c r="J30" s="88">
        <f>MIN(I30+$C13,$C14)</f>
        <v/>
      </c>
      <c r="K30" s="88">
        <f>MIN(J30+$C13,$C14)</f>
        <v/>
      </c>
      <c r="L30" s="88">
        <f>MIN(K30+$C13,$C14)</f>
        <v/>
      </c>
      <c r="M30" s="88">
        <f>MIN(L30+$C13,$C14)</f>
        <v/>
      </c>
      <c r="N30" s="88">
        <f>MIN(M30+$C13,$C14)</f>
        <v/>
      </c>
    </row>
    <row r="31" ht="15" customHeight="1" s="58">
      <c r="B31" s="83" t="inlineStr">
        <is>
          <t>Orders</t>
        </is>
      </c>
      <c r="C31" s="86">
        <f>C27*C30</f>
        <v/>
      </c>
      <c r="D31" s="86">
        <f>D27*D30</f>
        <v/>
      </c>
      <c r="E31" s="86">
        <f>E27*E30</f>
        <v/>
      </c>
      <c r="F31" s="86">
        <f>F27*F30</f>
        <v/>
      </c>
      <c r="G31" s="86">
        <f>G27*G30</f>
        <v/>
      </c>
      <c r="H31" s="86">
        <f>H27*H30</f>
        <v/>
      </c>
      <c r="I31" s="86">
        <f>I27*I30</f>
        <v/>
      </c>
      <c r="J31" s="86">
        <f>J27*J30</f>
        <v/>
      </c>
      <c r="K31" s="86">
        <f>K27*K30</f>
        <v/>
      </c>
      <c r="L31" s="86">
        <f>L27*L30</f>
        <v/>
      </c>
      <c r="M31" s="86">
        <f>M27*M30</f>
        <v/>
      </c>
      <c r="N31" s="86">
        <f>N27*N30</f>
        <v/>
      </c>
    </row>
    <row r="33" ht="15" customHeight="1" s="58">
      <c r="B33" s="82" t="inlineStr">
        <is>
          <t>REVENUE</t>
        </is>
      </c>
    </row>
    <row r="34" ht="15" customHeight="1" s="58">
      <c r="B34" s="83" t="inlineStr">
        <is>
          <t>Average Order Value (£)</t>
        </is>
      </c>
      <c r="C34" s="89">
        <f>C15</f>
        <v/>
      </c>
      <c r="D34" s="89">
        <f>C34*(1+$C16)</f>
        <v/>
      </c>
      <c r="E34" s="89">
        <f>D34*(1+$C16)</f>
        <v/>
      </c>
      <c r="F34" s="89">
        <f>E34*(1+$C16)</f>
        <v/>
      </c>
      <c r="G34" s="89">
        <f>F34*(1+$C16)</f>
        <v/>
      </c>
      <c r="H34" s="89">
        <f>G34*(1+$C16)</f>
        <v/>
      </c>
      <c r="I34" s="89">
        <f>H34*(1+$C16)</f>
        <v/>
      </c>
      <c r="J34" s="89">
        <f>I34*(1+$C16)</f>
        <v/>
      </c>
      <c r="K34" s="89">
        <f>J34*(1+$C16)</f>
        <v/>
      </c>
      <c r="L34" s="89">
        <f>K34*(1+$C16)</f>
        <v/>
      </c>
      <c r="M34" s="89">
        <f>L34*(1+$C16)</f>
        <v/>
      </c>
      <c r="N34" s="89">
        <f>M34*(1+$C16)</f>
        <v/>
      </c>
    </row>
    <row r="35" ht="15" customHeight="1" s="58">
      <c r="B35" s="70" t="inlineStr">
        <is>
          <t>REVENUE (£)</t>
        </is>
      </c>
      <c r="C35" s="90">
        <f>C31*C34</f>
        <v/>
      </c>
      <c r="D35" s="90">
        <f>D31*D34</f>
        <v/>
      </c>
      <c r="E35" s="90">
        <f>E31*E34</f>
        <v/>
      </c>
      <c r="F35" s="90">
        <f>F31*F34</f>
        <v/>
      </c>
      <c r="G35" s="90">
        <f>G31*G34</f>
        <v/>
      </c>
      <c r="H35" s="90">
        <f>H31*H34</f>
        <v/>
      </c>
      <c r="I35" s="90">
        <f>I31*I34</f>
        <v/>
      </c>
      <c r="J35" s="90">
        <f>J31*J34</f>
        <v/>
      </c>
      <c r="K35" s="90">
        <f>K31*K34</f>
        <v/>
      </c>
      <c r="L35" s="90">
        <f>L31*L34</f>
        <v/>
      </c>
      <c r="M35" s="90">
        <f>M31*M34</f>
        <v/>
      </c>
      <c r="N35" s="90">
        <f>N31*N34</f>
        <v/>
      </c>
    </row>
    <row r="37" ht="15" customHeight="1" s="58">
      <c r="B37" s="82" t="inlineStr">
        <is>
          <t>COSTS</t>
        </is>
      </c>
    </row>
    <row r="38" ht="15" customHeight="1" s="58">
      <c r="B38" s="83" t="inlineStr">
        <is>
          <t>Cost of Goods Sold (£)</t>
        </is>
      </c>
      <c r="C38" s="91">
        <f>-C35*(1-$C17)</f>
        <v/>
      </c>
      <c r="D38" s="91">
        <f>-D35*(1-$C17)</f>
        <v/>
      </c>
      <c r="E38" s="91">
        <f>-E35*(1-$C17)</f>
        <v/>
      </c>
      <c r="F38" s="91">
        <f>-F35*(1-$C17)</f>
        <v/>
      </c>
      <c r="G38" s="91">
        <f>-G35*(1-$C17)</f>
        <v/>
      </c>
      <c r="H38" s="91">
        <f>-H35*(1-$C17)</f>
        <v/>
      </c>
      <c r="I38" s="91">
        <f>-I35*(1-$C17)</f>
        <v/>
      </c>
      <c r="J38" s="91">
        <f>-J35*(1-$C17)</f>
        <v/>
      </c>
      <c r="K38" s="91">
        <f>-K35*(1-$C17)</f>
        <v/>
      </c>
      <c r="L38" s="91">
        <f>-L35*(1-$C17)</f>
        <v/>
      </c>
      <c r="M38" s="91">
        <f>-M35*(1-$C17)</f>
        <v/>
      </c>
      <c r="N38" s="91">
        <f>-N35*(1-$C17)</f>
        <v/>
      </c>
    </row>
    <row r="39" ht="15" customHeight="1" s="58">
      <c r="B39" s="83" t="inlineStr">
        <is>
          <t>Distribution Costs (£)</t>
        </is>
      </c>
      <c r="C39" s="91">
        <f>-C35*$C18</f>
        <v/>
      </c>
      <c r="D39" s="91">
        <f>-D35*$C18</f>
        <v/>
      </c>
      <c r="E39" s="91">
        <f>-E35*$C18</f>
        <v/>
      </c>
      <c r="F39" s="91">
        <f>-F35*$C18</f>
        <v/>
      </c>
      <c r="G39" s="91">
        <f>-G35*$C18</f>
        <v/>
      </c>
      <c r="H39" s="91">
        <f>-H35*$C18</f>
        <v/>
      </c>
      <c r="I39" s="91">
        <f>-I35*$C18</f>
        <v/>
      </c>
      <c r="J39" s="91">
        <f>-J35*$C18</f>
        <v/>
      </c>
      <c r="K39" s="91">
        <f>-K35*$C18</f>
        <v/>
      </c>
      <c r="L39" s="91">
        <f>-L35*$C18</f>
        <v/>
      </c>
      <c r="M39" s="91">
        <f>-M35*$C18</f>
        <v/>
      </c>
      <c r="N39" s="91">
        <f>-N35*$C18</f>
        <v/>
      </c>
    </row>
    <row r="40" ht="15" customHeight="1" s="58">
      <c r="B40" s="70" t="inlineStr">
        <is>
          <t>GROSS PROFIT (£)</t>
        </is>
      </c>
      <c r="C40" s="92">
        <f>C35+C38+C39</f>
        <v/>
      </c>
      <c r="D40" s="92">
        <f>D35+D38+D39</f>
        <v/>
      </c>
      <c r="E40" s="92">
        <f>E35+E38+E39</f>
        <v/>
      </c>
      <c r="F40" s="92">
        <f>F35+F38+F39</f>
        <v/>
      </c>
      <c r="G40" s="92">
        <f>G35+G38+G39</f>
        <v/>
      </c>
      <c r="H40" s="92">
        <f>H35+H38+H39</f>
        <v/>
      </c>
      <c r="I40" s="92">
        <f>I35+I38+I39</f>
        <v/>
      </c>
      <c r="J40" s="92">
        <f>J35+J38+J39</f>
        <v/>
      </c>
      <c r="K40" s="92">
        <f>K35+K38+K39</f>
        <v/>
      </c>
      <c r="L40" s="92">
        <f>L35+L38+L39</f>
        <v/>
      </c>
      <c r="M40" s="92">
        <f>M35+M38+M39</f>
        <v/>
      </c>
      <c r="N40" s="92">
        <f>N35+N38+N39</f>
        <v/>
      </c>
    </row>
    <row r="41" ht="15" customHeight="1" s="58">
      <c r="B41" s="83" t="inlineStr">
        <is>
          <t>Gross Margin %</t>
        </is>
      </c>
      <c r="C41" s="93">
        <f>IFERROR(C40/C35,0)</f>
        <v/>
      </c>
      <c r="D41" s="93">
        <f>IFERROR(D40/D35,0)</f>
        <v/>
      </c>
      <c r="E41" s="93">
        <f>IFERROR(E40/E35,0)</f>
        <v/>
      </c>
      <c r="F41" s="93">
        <f>IFERROR(F40/F35,0)</f>
        <v/>
      </c>
      <c r="G41" s="93">
        <f>IFERROR(G40/G35,0)</f>
        <v/>
      </c>
      <c r="H41" s="93">
        <f>IFERROR(H40/H35,0)</f>
        <v/>
      </c>
      <c r="I41" s="93">
        <f>IFERROR(I40/I35,0)</f>
        <v/>
      </c>
      <c r="J41" s="93">
        <f>IFERROR(J40/J35,0)</f>
        <v/>
      </c>
      <c r="K41" s="93">
        <f>IFERROR(K40/K35,0)</f>
        <v/>
      </c>
      <c r="L41" s="93">
        <f>IFERROR(L40/L35,0)</f>
        <v/>
      </c>
      <c r="M41" s="93">
        <f>IFERROR(M40/M35,0)</f>
        <v/>
      </c>
      <c r="N41" s="93">
        <f>IFERROR(N40/N35,0)</f>
        <v/>
      </c>
    </row>
    <row r="43" ht="15" customHeight="1" s="58">
      <c r="B43" s="82" t="inlineStr">
        <is>
          <t>MARKETING COSTS</t>
        </is>
      </c>
    </row>
    <row r="44" ht="15" customHeight="1" s="58">
      <c r="B44" s="83" t="inlineStr">
        <is>
          <t>Paid Ad Spend (£)</t>
        </is>
      </c>
      <c r="C44" s="91">
        <f>-C19</f>
        <v/>
      </c>
      <c r="D44" s="91">
        <f>C44*(1+$C20)</f>
        <v/>
      </c>
      <c r="E44" s="91">
        <f>D44*(1+$C20)</f>
        <v/>
      </c>
      <c r="F44" s="91">
        <f>E44*(1+$C20)</f>
        <v/>
      </c>
      <c r="G44" s="91">
        <f>F44*(1+$C20)</f>
        <v/>
      </c>
      <c r="H44" s="91">
        <f>G44*(1+$C20)</f>
        <v/>
      </c>
      <c r="I44" s="91">
        <f>H44*(1+$C20)</f>
        <v/>
      </c>
      <c r="J44" s="91">
        <f>I44*(1+$C20)</f>
        <v/>
      </c>
      <c r="K44" s="91">
        <f>J44*(1+$C20)</f>
        <v/>
      </c>
      <c r="L44" s="91">
        <f>K44*(1+$C20)</f>
        <v/>
      </c>
      <c r="M44" s="91">
        <f>L44*(1+$C20)</f>
        <v/>
      </c>
      <c r="N44" s="91">
        <f>M44*(1+$C20)</f>
        <v/>
      </c>
    </row>
    <row r="45" ht="15" customHeight="1" s="58">
      <c r="B45" s="83" t="inlineStr">
        <is>
          <t>SEO &amp; Content (£)</t>
        </is>
      </c>
      <c r="C45" s="91" t="n">
        <v>-800</v>
      </c>
      <c r="D45" s="91" t="n">
        <v>-800</v>
      </c>
      <c r="E45" s="91" t="n">
        <v>-800</v>
      </c>
      <c r="F45" s="91" t="n">
        <v>-800</v>
      </c>
      <c r="G45" s="91" t="n">
        <v>-800</v>
      </c>
      <c r="H45" s="91" t="n">
        <v>-800</v>
      </c>
      <c r="I45" s="91" t="n">
        <v>-800</v>
      </c>
      <c r="J45" s="91" t="n">
        <v>-800</v>
      </c>
      <c r="K45" s="91" t="n">
        <v>-800</v>
      </c>
      <c r="L45" s="91" t="n">
        <v>-800</v>
      </c>
      <c r="M45" s="91" t="n">
        <v>-800</v>
      </c>
      <c r="N45" s="91" t="n">
        <v>-800</v>
      </c>
    </row>
    <row r="46" ht="15" customHeight="1" s="58">
      <c r="B46" s="83" t="inlineStr">
        <is>
          <t>Email Marketing (£)</t>
        </is>
      </c>
      <c r="C46" s="91" t="n">
        <v>-300</v>
      </c>
      <c r="D46" s="91" t="n">
        <v>-300</v>
      </c>
      <c r="E46" s="91" t="n">
        <v>-300</v>
      </c>
      <c r="F46" s="91" t="n">
        <v>-300</v>
      </c>
      <c r="G46" s="91" t="n">
        <v>-300</v>
      </c>
      <c r="H46" s="91" t="n">
        <v>-300</v>
      </c>
      <c r="I46" s="91" t="n">
        <v>-300</v>
      </c>
      <c r="J46" s="91" t="n">
        <v>-300</v>
      </c>
      <c r="K46" s="91" t="n">
        <v>-300</v>
      </c>
      <c r="L46" s="91" t="n">
        <v>-300</v>
      </c>
      <c r="M46" s="91" t="n">
        <v>-300</v>
      </c>
      <c r="N46" s="91" t="n">
        <v>-300</v>
      </c>
    </row>
    <row r="47" ht="15" customHeight="1" s="58">
      <c r="B47" s="70" t="inlineStr">
        <is>
          <t>TOTAL MARKETING (£)</t>
        </is>
      </c>
      <c r="C47" s="94">
        <f>C44+C45+C46</f>
        <v/>
      </c>
      <c r="D47" s="94">
        <f>D44+D45+D46</f>
        <v/>
      </c>
      <c r="E47" s="94">
        <f>E44+E45+E46</f>
        <v/>
      </c>
      <c r="F47" s="94">
        <f>F44+F45+F46</f>
        <v/>
      </c>
      <c r="G47" s="94">
        <f>G44+G45+G46</f>
        <v/>
      </c>
      <c r="H47" s="94">
        <f>H44+H45+H46</f>
        <v/>
      </c>
      <c r="I47" s="94">
        <f>I44+I45+I46</f>
        <v/>
      </c>
      <c r="J47" s="94">
        <f>J44+J45+J46</f>
        <v/>
      </c>
      <c r="K47" s="94">
        <f>K44+K45+K46</f>
        <v/>
      </c>
      <c r="L47" s="94">
        <f>L44+L45+L46</f>
        <v/>
      </c>
      <c r="M47" s="94">
        <f>M44+M45+M46</f>
        <v/>
      </c>
      <c r="N47" s="94">
        <f>N44+N45+N46</f>
        <v/>
      </c>
    </row>
    <row r="49" ht="15" customHeight="1" s="58">
      <c r="B49" s="82" t="inlineStr">
        <is>
          <t>OPERATIONAL COSTS</t>
        </is>
      </c>
    </row>
    <row r="50" ht="15" customHeight="1" s="58">
      <c r="B50" s="83" t="inlineStr">
        <is>
          <t>Platform &amp; Hosting (£)</t>
        </is>
      </c>
      <c r="C50" s="91" t="n">
        <v>-200</v>
      </c>
      <c r="D50" s="91" t="n">
        <v>-200</v>
      </c>
      <c r="E50" s="91" t="n">
        <v>-200</v>
      </c>
      <c r="F50" s="91" t="n">
        <v>-200</v>
      </c>
      <c r="G50" s="91" t="n">
        <v>-200</v>
      </c>
      <c r="H50" s="91" t="n">
        <v>-200</v>
      </c>
      <c r="I50" s="91" t="n">
        <v>-200</v>
      </c>
      <c r="J50" s="91" t="n">
        <v>-200</v>
      </c>
      <c r="K50" s="91" t="n">
        <v>-200</v>
      </c>
      <c r="L50" s="91" t="n">
        <v>-200</v>
      </c>
      <c r="M50" s="91" t="n">
        <v>-200</v>
      </c>
      <c r="N50" s="91" t="n">
        <v>-200</v>
      </c>
    </row>
    <row r="51" ht="15" customHeight="1" s="58">
      <c r="B51" s="83" t="inlineStr">
        <is>
          <t>Payment Processing (£)</t>
        </is>
      </c>
      <c r="C51" s="91">
        <f>-C35*0.025</f>
        <v/>
      </c>
      <c r="D51" s="91">
        <f>-D35*0.025</f>
        <v/>
      </c>
      <c r="E51" s="91">
        <f>-E35*0.025</f>
        <v/>
      </c>
      <c r="F51" s="91">
        <f>-F35*0.025</f>
        <v/>
      </c>
      <c r="G51" s="91">
        <f>-G35*0.025</f>
        <v/>
      </c>
      <c r="H51" s="91">
        <f>-H35*0.025</f>
        <v/>
      </c>
      <c r="I51" s="91">
        <f>-I35*0.025</f>
        <v/>
      </c>
      <c r="J51" s="91">
        <f>-J35*0.025</f>
        <v/>
      </c>
      <c r="K51" s="91">
        <f>-K35*0.025</f>
        <v/>
      </c>
      <c r="L51" s="91">
        <f>-L35*0.025</f>
        <v/>
      </c>
      <c r="M51" s="91">
        <f>-M35*0.025</f>
        <v/>
      </c>
      <c r="N51" s="91">
        <f>-N35*0.025</f>
        <v/>
      </c>
    </row>
    <row r="52" ht="15" customHeight="1" s="58">
      <c r="B52" s="83" t="inlineStr">
        <is>
          <t>Customer Service (£)</t>
        </is>
      </c>
      <c r="C52" s="91" t="n">
        <v>-1500</v>
      </c>
      <c r="D52" s="91" t="n">
        <v>-1500</v>
      </c>
      <c r="E52" s="91" t="n">
        <v>-1500</v>
      </c>
      <c r="F52" s="91" t="n">
        <v>-1500</v>
      </c>
      <c r="G52" s="91" t="n">
        <v>-1500</v>
      </c>
      <c r="H52" s="91" t="n">
        <v>-1500</v>
      </c>
      <c r="I52" s="91" t="n">
        <v>-1500</v>
      </c>
      <c r="J52" s="91" t="n">
        <v>-1500</v>
      </c>
      <c r="K52" s="91" t="n">
        <v>-1500</v>
      </c>
      <c r="L52" s="91" t="n">
        <v>-1500</v>
      </c>
      <c r="M52" s="91" t="n">
        <v>-1500</v>
      </c>
      <c r="N52" s="91" t="n">
        <v>-1500</v>
      </c>
    </row>
    <row r="53" ht="15" customHeight="1" s="58">
      <c r="B53" s="83" t="inlineStr">
        <is>
          <t>Software &amp; Tools (£)</t>
        </is>
      </c>
      <c r="C53" s="91" t="n">
        <v>-300</v>
      </c>
      <c r="D53" s="91" t="n">
        <v>-300</v>
      </c>
      <c r="E53" s="91" t="n">
        <v>-300</v>
      </c>
      <c r="F53" s="91" t="n">
        <v>-300</v>
      </c>
      <c r="G53" s="91" t="n">
        <v>-300</v>
      </c>
      <c r="H53" s="91" t="n">
        <v>-300</v>
      </c>
      <c r="I53" s="91" t="n">
        <v>-300</v>
      </c>
      <c r="J53" s="91" t="n">
        <v>-300</v>
      </c>
      <c r="K53" s="91" t="n">
        <v>-300</v>
      </c>
      <c r="L53" s="91" t="n">
        <v>-300</v>
      </c>
      <c r="M53" s="91" t="n">
        <v>-300</v>
      </c>
      <c r="N53" s="91" t="n">
        <v>-300</v>
      </c>
    </row>
    <row r="54" ht="15" customHeight="1" s="58">
      <c r="B54" s="70" t="inlineStr">
        <is>
          <t>TOTAL OPERATIONAL (£)</t>
        </is>
      </c>
      <c r="C54" s="94">
        <f>C50+C51+C52+C53</f>
        <v/>
      </c>
      <c r="D54" s="94">
        <f>D50+D51+D52+D53</f>
        <v/>
      </c>
      <c r="E54" s="94">
        <f>E50+E51+E52+E53</f>
        <v/>
      </c>
      <c r="F54" s="94">
        <f>F50+F51+F52+F53</f>
        <v/>
      </c>
      <c r="G54" s="94">
        <f>G50+G51+G52+G53</f>
        <v/>
      </c>
      <c r="H54" s="94">
        <f>H50+H51+H52+H53</f>
        <v/>
      </c>
      <c r="I54" s="94">
        <f>I50+I51+I52+I53</f>
        <v/>
      </c>
      <c r="J54" s="94">
        <f>J50+J51+J52+J53</f>
        <v/>
      </c>
      <c r="K54" s="94">
        <f>K50+K51+K52+K53</f>
        <v/>
      </c>
      <c r="L54" s="94">
        <f>L50+L51+L52+L53</f>
        <v/>
      </c>
      <c r="M54" s="94">
        <f>M50+M51+M52+M53</f>
        <v/>
      </c>
      <c r="N54" s="94">
        <f>N50+N51+N52+N53</f>
        <v/>
      </c>
    </row>
    <row r="56" ht="15" customHeight="1" s="58">
      <c r="B56" s="82" t="inlineStr">
        <is>
          <t>PROFITABILITY</t>
        </is>
      </c>
    </row>
    <row r="57" ht="15" customHeight="1" s="58">
      <c r="B57" s="70" t="inlineStr">
        <is>
          <t>CONTRIBUTION (£)</t>
        </is>
      </c>
      <c r="C57" s="95">
        <f>C40+C47+C54</f>
        <v/>
      </c>
      <c r="D57" s="95">
        <f>D40+D47+D54</f>
        <v/>
      </c>
      <c r="E57" s="95">
        <f>E40+E47+E54</f>
        <v/>
      </c>
      <c r="F57" s="95">
        <f>F40+F47+F54</f>
        <v/>
      </c>
      <c r="G57" s="95">
        <f>G40+G47+G54</f>
        <v/>
      </c>
      <c r="H57" s="95">
        <f>H40+H47+H54</f>
        <v/>
      </c>
      <c r="I57" s="95">
        <f>I40+I47+I54</f>
        <v/>
      </c>
      <c r="J57" s="95">
        <f>J40+J47+J54</f>
        <v/>
      </c>
      <c r="K57" s="95">
        <f>K40+K47+K54</f>
        <v/>
      </c>
      <c r="L57" s="95">
        <f>L40+L47+L54</f>
        <v/>
      </c>
      <c r="M57" s="95">
        <f>M40+M47+M54</f>
        <v/>
      </c>
      <c r="N57" s="95">
        <f>N40+N47+N54</f>
        <v/>
      </c>
    </row>
    <row r="58" ht="15" customHeight="1" s="58">
      <c r="B58" s="83" t="inlineStr">
        <is>
          <t>Cumulative Contribution (£)</t>
        </is>
      </c>
      <c r="C58" s="91">
        <f>C57</f>
        <v/>
      </c>
      <c r="D58" s="91">
        <f>C58+D57</f>
        <v/>
      </c>
      <c r="E58" s="91">
        <f>D58+E57</f>
        <v/>
      </c>
      <c r="F58" s="91">
        <f>E58+F57</f>
        <v/>
      </c>
      <c r="G58" s="91">
        <f>F58+G57</f>
        <v/>
      </c>
      <c r="H58" s="91">
        <f>G58+H57</f>
        <v/>
      </c>
      <c r="I58" s="91">
        <f>H58+I57</f>
        <v/>
      </c>
      <c r="J58" s="91">
        <f>I58+J57</f>
        <v/>
      </c>
      <c r="K58" s="91">
        <f>J58+K57</f>
        <v/>
      </c>
      <c r="L58" s="91">
        <f>K58+L57</f>
        <v/>
      </c>
      <c r="M58" s="91">
        <f>L58+M57</f>
        <v/>
      </c>
      <c r="N58" s="91">
        <f>M58+N57</f>
        <v/>
      </c>
    </row>
    <row r="60" ht="15" customHeight="1" s="58">
      <c r="B60" s="82" t="inlineStr">
        <is>
          <t>KEY PERFORMANCE INDICATORS</t>
        </is>
      </c>
    </row>
    <row r="61" ht="15" customHeight="1" s="58">
      <c r="B61" s="83" t="inlineStr">
        <is>
          <t>ROAS (Return on Ad Spend)</t>
        </is>
      </c>
      <c r="C61" s="96">
        <f>IFERROR(C35/ABS(C44),0)</f>
        <v/>
      </c>
      <c r="D61" s="96">
        <f>IFERROR(D35/ABS(D44),0)</f>
        <v/>
      </c>
      <c r="E61" s="96">
        <f>IFERROR(E35/ABS(E44),0)</f>
        <v/>
      </c>
      <c r="F61" s="96">
        <f>IFERROR(F35/ABS(F44),0)</f>
        <v/>
      </c>
      <c r="G61" s="96">
        <f>IFERROR(G35/ABS(G44),0)</f>
        <v/>
      </c>
      <c r="H61" s="96">
        <f>IFERROR(H35/ABS(H44),0)</f>
        <v/>
      </c>
      <c r="I61" s="96">
        <f>IFERROR(I35/ABS(I44),0)</f>
        <v/>
      </c>
      <c r="J61" s="96">
        <f>IFERROR(J35/ABS(J44),0)</f>
        <v/>
      </c>
      <c r="K61" s="96">
        <f>IFERROR(K35/ABS(K44),0)</f>
        <v/>
      </c>
      <c r="L61" s="96">
        <f>IFERROR(L35/ABS(L44),0)</f>
        <v/>
      </c>
      <c r="M61" s="96">
        <f>IFERROR(M35/ABS(M44),0)</f>
        <v/>
      </c>
      <c r="N61" s="96">
        <f>IFERROR(N35/ABS(N44),0)</f>
        <v/>
      </c>
    </row>
    <row r="62" ht="15" customHeight="1" s="58">
      <c r="B62" s="83" t="inlineStr">
        <is>
          <t>CAC (£) - Paid Only</t>
        </is>
      </c>
      <c r="C62" s="89">
        <f>IFERROR(ABS(C44)/C31,0)</f>
        <v/>
      </c>
      <c r="D62" s="89">
        <f>IFERROR(ABS(D44)/D31,0)</f>
        <v/>
      </c>
      <c r="E62" s="89">
        <f>IFERROR(ABS(E44)/E31,0)</f>
        <v/>
      </c>
      <c r="F62" s="89">
        <f>IFERROR(ABS(F44)/F31,0)</f>
        <v/>
      </c>
      <c r="G62" s="89">
        <f>IFERROR(ABS(G44)/G31,0)</f>
        <v/>
      </c>
      <c r="H62" s="89">
        <f>IFERROR(ABS(H44)/H31,0)</f>
        <v/>
      </c>
      <c r="I62" s="89">
        <f>IFERROR(ABS(I44)/I31,0)</f>
        <v/>
      </c>
      <c r="J62" s="89">
        <f>IFERROR(ABS(J44)/J31,0)</f>
        <v/>
      </c>
      <c r="K62" s="89">
        <f>IFERROR(ABS(K44)/K31,0)</f>
        <v/>
      </c>
      <c r="L62" s="89">
        <f>IFERROR(ABS(L44)/L31,0)</f>
        <v/>
      </c>
      <c r="M62" s="89">
        <f>IFERROR(ABS(M44)/M31,0)</f>
        <v/>
      </c>
      <c r="N62" s="89">
        <f>IFERROR(ABS(N44)/N31,0)</f>
        <v/>
      </c>
    </row>
    <row r="63" ht="15" customHeight="1" s="58">
      <c r="B63" s="83" t="inlineStr">
        <is>
          <t>Revenue per Visitor (£)</t>
        </is>
      </c>
      <c r="C63" s="89">
        <f>IFERROR(C35/C27,0)</f>
        <v/>
      </c>
      <c r="D63" s="89">
        <f>IFERROR(D35/D27,0)</f>
        <v/>
      </c>
      <c r="E63" s="89">
        <f>IFERROR(E35/E27,0)</f>
        <v/>
      </c>
      <c r="F63" s="89">
        <f>IFERROR(F35/F27,0)</f>
        <v/>
      </c>
      <c r="G63" s="89">
        <f>IFERROR(G35/G27,0)</f>
        <v/>
      </c>
      <c r="H63" s="89">
        <f>IFERROR(H35/H27,0)</f>
        <v/>
      </c>
      <c r="I63" s="89">
        <f>IFERROR(I35/I27,0)</f>
        <v/>
      </c>
      <c r="J63" s="89">
        <f>IFERROR(J35/J27,0)</f>
        <v/>
      </c>
      <c r="K63" s="89">
        <f>IFERROR(K35/K27,0)</f>
        <v/>
      </c>
      <c r="L63" s="89">
        <f>IFERROR(L35/L27,0)</f>
        <v/>
      </c>
      <c r="M63" s="89">
        <f>IFERROR(M35/M27,0)</f>
        <v/>
      </c>
      <c r="N63" s="89">
        <f>IFERROR(N35/N27,0)</f>
        <v/>
      </c>
    </row>
  </sheetData>
  <mergeCells count="1">
    <mergeCell ref="B2:N2"/>
  </mergeCells>
  <conditionalFormatting sqref="C35:N35">
    <cfRule type="dataBar" priority="2">
      <dataBar minLength="10" maxLength="90" showValue="1">
        <cfvo type="min" val="0"/>
        <cfvo type="max" val="0"/>
        <color rgb="FF4A90D9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N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7" min="1" max="1"/>
    <col width="28" customWidth="1" style="57" min="2" max="2"/>
    <col width="14" customWidth="1" style="57" min="3" max="14"/>
    <col width="35" customWidth="1" style="57" min="15" max="15"/>
  </cols>
  <sheetData>
    <row r="2" ht="30" customHeight="1" s="58">
      <c r="B2" s="80" t="inlineStr">
        <is>
          <t>GTSEGroup.com - 12 MONTH PROJECTION</t>
        </is>
      </c>
    </row>
    <row r="3" ht="15" customHeight="1" s="58">
      <c r="B3" s="73" t="inlineStr">
        <is>
          <t>Market: Global B2B | Status: Launch | Currency: GBP (£)</t>
        </is>
      </c>
    </row>
    <row r="5" ht="15" customHeight="1" s="58">
      <c r="B5" s="81" t="inlineStr">
        <is>
          <t>METRIC</t>
        </is>
      </c>
      <c r="C5" s="75" t="inlineStr">
        <is>
          <t>M1</t>
        </is>
      </c>
      <c r="D5" s="75" t="inlineStr">
        <is>
          <t>M2</t>
        </is>
      </c>
      <c r="E5" s="75" t="inlineStr">
        <is>
          <t>M3</t>
        </is>
      </c>
      <c r="F5" s="75" t="inlineStr">
        <is>
          <t>M4</t>
        </is>
      </c>
      <c r="G5" s="75" t="inlineStr">
        <is>
          <t>M5</t>
        </is>
      </c>
      <c r="H5" s="75" t="inlineStr">
        <is>
          <t>M6</t>
        </is>
      </c>
      <c r="I5" s="75" t="inlineStr">
        <is>
          <t>M7</t>
        </is>
      </c>
      <c r="J5" s="75" t="inlineStr">
        <is>
          <t>M8</t>
        </is>
      </c>
      <c r="K5" s="75" t="inlineStr">
        <is>
          <t>M9</t>
        </is>
      </c>
      <c r="L5" s="75" t="inlineStr">
        <is>
          <t>M10</t>
        </is>
      </c>
      <c r="M5" s="75" t="inlineStr">
        <is>
          <t>M11</t>
        </is>
      </c>
      <c r="N5" s="75" t="inlineStr">
        <is>
          <t>M12</t>
        </is>
      </c>
    </row>
    <row r="7" ht="15" customHeight="1" s="58">
      <c r="B7" s="82" t="inlineStr">
        <is>
          <t>KEY ASSUMPTIONS (Editable)</t>
        </is>
      </c>
    </row>
    <row r="8" ht="15" customHeight="1" s="58">
      <c r="B8" s="83" t="inlineStr">
        <is>
          <t>Starting Organic Traffic</t>
        </is>
      </c>
      <c r="C8" s="84" t="n">
        <v>200</v>
      </c>
      <c r="D8" s="85" t="inlineStr">
        <is>
          <t>visitors</t>
        </is>
      </c>
    </row>
    <row r="9" ht="15" customHeight="1" s="58">
      <c r="B9" s="83" t="inlineStr">
        <is>
          <t>Organic Growth Rate</t>
        </is>
      </c>
      <c r="C9" s="84" t="n">
        <v>0.15</v>
      </c>
      <c r="D9" s="85" t="inlineStr">
        <is>
          <t>decimal</t>
        </is>
      </c>
    </row>
    <row r="10" ht="15" customHeight="1" s="58">
      <c r="B10" s="83" t="inlineStr">
        <is>
          <t>Starting Paid Traffic</t>
        </is>
      </c>
      <c r="C10" s="84" t="n">
        <v>800</v>
      </c>
      <c r="D10" s="85" t="inlineStr">
        <is>
          <t>visitors</t>
        </is>
      </c>
    </row>
    <row r="11" ht="15" customHeight="1" s="58">
      <c r="B11" s="83" t="inlineStr">
        <is>
          <t>Paid Growth Rate</t>
        </is>
      </c>
      <c r="C11" s="84" t="n">
        <v>0.1</v>
      </c>
      <c r="D11" s="85" t="inlineStr">
        <is>
          <t>decimal</t>
        </is>
      </c>
    </row>
    <row r="12" ht="15" customHeight="1" s="58">
      <c r="B12" s="83" t="inlineStr">
        <is>
          <t>Starting Conversion Rate</t>
        </is>
      </c>
      <c r="C12" s="84" t="n">
        <v>0.015</v>
      </c>
      <c r="D12" s="85" t="inlineStr">
        <is>
          <t>decimal</t>
        </is>
      </c>
    </row>
    <row r="13" ht="15" customHeight="1" s="58">
      <c r="B13" s="83" t="inlineStr">
        <is>
          <t>Conv. Rate Improvement</t>
        </is>
      </c>
      <c r="C13" s="84" t="n">
        <v>0.0015</v>
      </c>
      <c r="D13" s="85" t="inlineStr">
        <is>
          <t>decimal</t>
        </is>
      </c>
    </row>
    <row r="14" ht="15" customHeight="1" s="58">
      <c r="B14" s="83" t="inlineStr">
        <is>
          <t>Max Conversion Rate</t>
        </is>
      </c>
      <c r="C14" s="84" t="n">
        <v>0.03</v>
      </c>
      <c r="D14" s="85" t="inlineStr">
        <is>
          <t>decimal</t>
        </is>
      </c>
    </row>
    <row r="15" ht="15" customHeight="1" s="58">
      <c r="B15" s="83" t="inlineStr">
        <is>
          <t>Average Order Value</t>
        </is>
      </c>
      <c r="C15" s="84" t="n">
        <v>250</v>
      </c>
      <c r="D15" s="85" t="inlineStr">
        <is>
          <t>currency</t>
        </is>
      </c>
    </row>
    <row r="16" ht="15" customHeight="1" s="58">
      <c r="B16" s="83" t="inlineStr">
        <is>
          <t>AOV Growth Rate</t>
        </is>
      </c>
      <c r="C16" s="84" t="n">
        <v>0.01</v>
      </c>
      <c r="D16" s="85" t="inlineStr">
        <is>
          <t>decimal</t>
        </is>
      </c>
    </row>
    <row r="17" ht="15" customHeight="1" s="58">
      <c r="B17" s="83" t="inlineStr">
        <is>
          <t>Gross Margin</t>
        </is>
      </c>
      <c r="C17" s="84" t="n">
        <v>0.45</v>
      </c>
      <c r="D17" s="85" t="inlineStr">
        <is>
          <t>decimal</t>
        </is>
      </c>
    </row>
    <row r="18" ht="15" customHeight="1" s="58">
      <c r="B18" s="83" t="inlineStr">
        <is>
          <t>Distribution Cost %</t>
        </is>
      </c>
      <c r="C18" s="84" t="n">
        <v>0.15</v>
      </c>
      <c r="D18" s="85" t="inlineStr">
        <is>
          <t>decimal</t>
        </is>
      </c>
    </row>
    <row r="19" ht="15" customHeight="1" s="58">
      <c r="B19" s="83" t="inlineStr">
        <is>
          <t>Starting Ad Spend</t>
        </is>
      </c>
      <c r="C19" s="84" t="n">
        <v>1500</v>
      </c>
      <c r="D19" s="85" t="inlineStr">
        <is>
          <t>currency</t>
        </is>
      </c>
    </row>
    <row r="20" ht="15" customHeight="1" s="58">
      <c r="B20" s="83" t="inlineStr">
        <is>
          <t>Ad Spend Growth</t>
        </is>
      </c>
      <c r="C20" s="84" t="n">
        <v>0.1</v>
      </c>
      <c r="D20" s="85" t="inlineStr">
        <is>
          <t>decimal</t>
        </is>
      </c>
    </row>
    <row r="21" ht="15" customHeight="1" s="58">
      <c r="B21" s="83" t="inlineStr">
        <is>
          <t>Cost Per Click</t>
        </is>
      </c>
      <c r="C21" s="84" t="n">
        <v>1.88</v>
      </c>
      <c r="D21" s="85" t="inlineStr">
        <is>
          <t>currency</t>
        </is>
      </c>
    </row>
    <row r="23" ht="15" customHeight="1" s="58">
      <c r="B23" s="82" t="inlineStr">
        <is>
          <t>TRAFFIC</t>
        </is>
      </c>
    </row>
    <row r="24" ht="15" customHeight="1" s="58">
      <c r="B24" s="83" t="inlineStr">
        <is>
          <t>Organic Traffic</t>
        </is>
      </c>
      <c r="C24" s="86">
        <f>C8</f>
        <v/>
      </c>
      <c r="D24" s="86">
        <f>C24*(1+$C9)</f>
        <v/>
      </c>
      <c r="E24" s="86">
        <f>D24*(1+$C9)</f>
        <v/>
      </c>
      <c r="F24" s="86">
        <f>E24*(1+$C9)</f>
        <v/>
      </c>
      <c r="G24" s="86">
        <f>F24*(1+$C9)</f>
        <v/>
      </c>
      <c r="H24" s="86">
        <f>G24*(1+$C9)</f>
        <v/>
      </c>
      <c r="I24" s="86">
        <f>H24*(1+$C9)</f>
        <v/>
      </c>
      <c r="J24" s="86">
        <f>I24*(1+$C9)</f>
        <v/>
      </c>
      <c r="K24" s="86">
        <f>J24*(1+$C9)</f>
        <v/>
      </c>
      <c r="L24" s="86">
        <f>K24*(1+$C9)</f>
        <v/>
      </c>
      <c r="M24" s="86">
        <f>L24*(1+$C9)</f>
        <v/>
      </c>
      <c r="N24" s="86">
        <f>M24*(1+$C9)</f>
        <v/>
      </c>
    </row>
    <row r="25" ht="15" customHeight="1" s="58">
      <c r="B25" s="83" t="inlineStr">
        <is>
          <t>Paid Traffic</t>
        </is>
      </c>
      <c r="C25" s="86">
        <f>C10</f>
        <v/>
      </c>
      <c r="D25" s="86">
        <f>C25*(1+$C11)</f>
        <v/>
      </c>
      <c r="E25" s="86">
        <f>D25*(1+$C11)</f>
        <v/>
      </c>
      <c r="F25" s="86">
        <f>E25*(1+$C11)</f>
        <v/>
      </c>
      <c r="G25" s="86">
        <f>F25*(1+$C11)</f>
        <v/>
      </c>
      <c r="H25" s="86">
        <f>G25*(1+$C11)</f>
        <v/>
      </c>
      <c r="I25" s="86">
        <f>H25*(1+$C11)</f>
        <v/>
      </c>
      <c r="J25" s="86">
        <f>I25*(1+$C11)</f>
        <v/>
      </c>
      <c r="K25" s="86">
        <f>J25*(1+$C11)</f>
        <v/>
      </c>
      <c r="L25" s="86">
        <f>K25*(1+$C11)</f>
        <v/>
      </c>
      <c r="M25" s="86">
        <f>L25*(1+$C11)</f>
        <v/>
      </c>
      <c r="N25" s="86">
        <f>M25*(1+$C11)</f>
        <v/>
      </c>
    </row>
    <row r="26" ht="15" customHeight="1" s="58">
      <c r="B26" s="83" t="inlineStr">
        <is>
          <t>Direct/Referral Traffic</t>
        </is>
      </c>
      <c r="C26" s="86">
        <f>C24*0.25</f>
        <v/>
      </c>
      <c r="D26" s="86">
        <f>D24*0.25</f>
        <v/>
      </c>
      <c r="E26" s="86">
        <f>E24*0.25</f>
        <v/>
      </c>
      <c r="F26" s="86">
        <f>F24*0.25</f>
        <v/>
      </c>
      <c r="G26" s="86">
        <f>G24*0.25</f>
        <v/>
      </c>
      <c r="H26" s="86">
        <f>H24*0.25</f>
        <v/>
      </c>
      <c r="I26" s="86">
        <f>I24*0.25</f>
        <v/>
      </c>
      <c r="J26" s="86">
        <f>J24*0.25</f>
        <v/>
      </c>
      <c r="K26" s="86">
        <f>K24*0.25</f>
        <v/>
      </c>
      <c r="L26" s="86">
        <f>L24*0.25</f>
        <v/>
      </c>
      <c r="M26" s="86">
        <f>M24*0.25</f>
        <v/>
      </c>
      <c r="N26" s="86">
        <f>N24*0.25</f>
        <v/>
      </c>
    </row>
    <row r="27" ht="15" customHeight="1" s="58">
      <c r="B27" s="70" t="inlineStr">
        <is>
          <t>TOTAL TRAFFIC</t>
        </is>
      </c>
      <c r="C27" s="87">
        <f>C24+C25+C26</f>
        <v/>
      </c>
      <c r="D27" s="87">
        <f>D24+D25+D26</f>
        <v/>
      </c>
      <c r="E27" s="87">
        <f>E24+E25+E26</f>
        <v/>
      </c>
      <c r="F27" s="87">
        <f>F24+F25+F26</f>
        <v/>
      </c>
      <c r="G27" s="87">
        <f>G24+G25+G26</f>
        <v/>
      </c>
      <c r="H27" s="87">
        <f>H24+H25+H26</f>
        <v/>
      </c>
      <c r="I27" s="87">
        <f>I24+I25+I26</f>
        <v/>
      </c>
      <c r="J27" s="87">
        <f>J24+J25+J26</f>
        <v/>
      </c>
      <c r="K27" s="87">
        <f>K24+K25+K26</f>
        <v/>
      </c>
      <c r="L27" s="87">
        <f>L24+L25+L26</f>
        <v/>
      </c>
      <c r="M27" s="87">
        <f>M24+M25+M26</f>
        <v/>
      </c>
      <c r="N27" s="87">
        <f>N24+N25+N26</f>
        <v/>
      </c>
    </row>
    <row r="29" ht="15" customHeight="1" s="58">
      <c r="B29" s="82" t="inlineStr">
        <is>
          <t>CONVERSION</t>
        </is>
      </c>
    </row>
    <row r="30" ht="15" customHeight="1" s="58">
      <c r="B30" s="83" t="inlineStr">
        <is>
          <t>Conversion Rate</t>
        </is>
      </c>
      <c r="C30" s="88">
        <f>C12</f>
        <v/>
      </c>
      <c r="D30" s="88">
        <f>MIN(C30+$C13,$C14)</f>
        <v/>
      </c>
      <c r="E30" s="88">
        <f>MIN(D30+$C13,$C14)</f>
        <v/>
      </c>
      <c r="F30" s="88">
        <f>MIN(E30+$C13,$C14)</f>
        <v/>
      </c>
      <c r="G30" s="88">
        <f>MIN(F30+$C13,$C14)</f>
        <v/>
      </c>
      <c r="H30" s="88">
        <f>MIN(G30+$C13,$C14)</f>
        <v/>
      </c>
      <c r="I30" s="88">
        <f>MIN(H30+$C13,$C14)</f>
        <v/>
      </c>
      <c r="J30" s="88">
        <f>MIN(I30+$C13,$C14)</f>
        <v/>
      </c>
      <c r="K30" s="88">
        <f>MIN(J30+$C13,$C14)</f>
        <v/>
      </c>
      <c r="L30" s="88">
        <f>MIN(K30+$C13,$C14)</f>
        <v/>
      </c>
      <c r="M30" s="88">
        <f>MIN(L30+$C13,$C14)</f>
        <v/>
      </c>
      <c r="N30" s="88">
        <f>MIN(M30+$C13,$C14)</f>
        <v/>
      </c>
    </row>
    <row r="31" ht="15" customHeight="1" s="58">
      <c r="B31" s="83" t="inlineStr">
        <is>
          <t>Orders</t>
        </is>
      </c>
      <c r="C31" s="86">
        <f>C27*C30</f>
        <v/>
      </c>
      <c r="D31" s="86">
        <f>D27*D30</f>
        <v/>
      </c>
      <c r="E31" s="86">
        <f>E27*E30</f>
        <v/>
      </c>
      <c r="F31" s="86">
        <f>F27*F30</f>
        <v/>
      </c>
      <c r="G31" s="86">
        <f>G27*G30</f>
        <v/>
      </c>
      <c r="H31" s="86">
        <f>H27*H30</f>
        <v/>
      </c>
      <c r="I31" s="86">
        <f>I27*I30</f>
        <v/>
      </c>
      <c r="J31" s="86">
        <f>J27*J30</f>
        <v/>
      </c>
      <c r="K31" s="86">
        <f>K27*K30</f>
        <v/>
      </c>
      <c r="L31" s="86">
        <f>L27*L30</f>
        <v/>
      </c>
      <c r="M31" s="86">
        <f>M27*M30</f>
        <v/>
      </c>
      <c r="N31" s="86">
        <f>N27*N30</f>
        <v/>
      </c>
    </row>
    <row r="33" ht="15" customHeight="1" s="58">
      <c r="B33" s="82" t="inlineStr">
        <is>
          <t>REVENUE</t>
        </is>
      </c>
    </row>
    <row r="34" ht="15" customHeight="1" s="58">
      <c r="B34" s="83" t="inlineStr">
        <is>
          <t>Average Order Value (£)</t>
        </is>
      </c>
      <c r="C34" s="89">
        <f>C15</f>
        <v/>
      </c>
      <c r="D34" s="89">
        <f>C34*(1+$C16)</f>
        <v/>
      </c>
      <c r="E34" s="89">
        <f>D34*(1+$C16)</f>
        <v/>
      </c>
      <c r="F34" s="89">
        <f>E34*(1+$C16)</f>
        <v/>
      </c>
      <c r="G34" s="89">
        <f>F34*(1+$C16)</f>
        <v/>
      </c>
      <c r="H34" s="89">
        <f>G34*(1+$C16)</f>
        <v/>
      </c>
      <c r="I34" s="89">
        <f>H34*(1+$C16)</f>
        <v/>
      </c>
      <c r="J34" s="89">
        <f>I34*(1+$C16)</f>
        <v/>
      </c>
      <c r="K34" s="89">
        <f>J34*(1+$C16)</f>
        <v/>
      </c>
      <c r="L34" s="89">
        <f>K34*(1+$C16)</f>
        <v/>
      </c>
      <c r="M34" s="89">
        <f>L34*(1+$C16)</f>
        <v/>
      </c>
      <c r="N34" s="89">
        <f>M34*(1+$C16)</f>
        <v/>
      </c>
    </row>
    <row r="35" ht="15" customHeight="1" s="58">
      <c r="B35" s="70" t="inlineStr">
        <is>
          <t>REVENUE (£)</t>
        </is>
      </c>
      <c r="C35" s="90">
        <f>C31*C34</f>
        <v/>
      </c>
      <c r="D35" s="90">
        <f>D31*D34</f>
        <v/>
      </c>
      <c r="E35" s="90">
        <f>E31*E34</f>
        <v/>
      </c>
      <c r="F35" s="90">
        <f>F31*F34</f>
        <v/>
      </c>
      <c r="G35" s="90">
        <f>G31*G34</f>
        <v/>
      </c>
      <c r="H35" s="90">
        <f>H31*H34</f>
        <v/>
      </c>
      <c r="I35" s="90">
        <f>I31*I34</f>
        <v/>
      </c>
      <c r="J35" s="90">
        <f>J31*J34</f>
        <v/>
      </c>
      <c r="K35" s="90">
        <f>K31*K34</f>
        <v/>
      </c>
      <c r="L35" s="90">
        <f>L31*L34</f>
        <v/>
      </c>
      <c r="M35" s="90">
        <f>M31*M34</f>
        <v/>
      </c>
      <c r="N35" s="90">
        <f>N31*N34</f>
        <v/>
      </c>
    </row>
    <row r="37" ht="15" customHeight="1" s="58">
      <c r="B37" s="82" t="inlineStr">
        <is>
          <t>COSTS</t>
        </is>
      </c>
    </row>
    <row r="38" ht="15" customHeight="1" s="58">
      <c r="B38" s="83" t="inlineStr">
        <is>
          <t>Cost of Goods Sold (£)</t>
        </is>
      </c>
      <c r="C38" s="91">
        <f>-C35*(1-$C17)</f>
        <v/>
      </c>
      <c r="D38" s="91">
        <f>-D35*(1-$C17)</f>
        <v/>
      </c>
      <c r="E38" s="91">
        <f>-E35*(1-$C17)</f>
        <v/>
      </c>
      <c r="F38" s="91">
        <f>-F35*(1-$C17)</f>
        <v/>
      </c>
      <c r="G38" s="91">
        <f>-G35*(1-$C17)</f>
        <v/>
      </c>
      <c r="H38" s="91">
        <f>-H35*(1-$C17)</f>
        <v/>
      </c>
      <c r="I38" s="91">
        <f>-I35*(1-$C17)</f>
        <v/>
      </c>
      <c r="J38" s="91">
        <f>-J35*(1-$C17)</f>
        <v/>
      </c>
      <c r="K38" s="91">
        <f>-K35*(1-$C17)</f>
        <v/>
      </c>
      <c r="L38" s="91">
        <f>-L35*(1-$C17)</f>
        <v/>
      </c>
      <c r="M38" s="91">
        <f>-M35*(1-$C17)</f>
        <v/>
      </c>
      <c r="N38" s="91">
        <f>-N35*(1-$C17)</f>
        <v/>
      </c>
    </row>
    <row r="39" ht="15" customHeight="1" s="58">
      <c r="B39" s="83" t="inlineStr">
        <is>
          <t>Distribution Costs (£)</t>
        </is>
      </c>
      <c r="C39" s="91">
        <f>-C35*$C18</f>
        <v/>
      </c>
      <c r="D39" s="91">
        <f>-D35*$C18</f>
        <v/>
      </c>
      <c r="E39" s="91">
        <f>-E35*$C18</f>
        <v/>
      </c>
      <c r="F39" s="91">
        <f>-F35*$C18</f>
        <v/>
      </c>
      <c r="G39" s="91">
        <f>-G35*$C18</f>
        <v/>
      </c>
      <c r="H39" s="91">
        <f>-H35*$C18</f>
        <v/>
      </c>
      <c r="I39" s="91">
        <f>-I35*$C18</f>
        <v/>
      </c>
      <c r="J39" s="91">
        <f>-J35*$C18</f>
        <v/>
      </c>
      <c r="K39" s="91">
        <f>-K35*$C18</f>
        <v/>
      </c>
      <c r="L39" s="91">
        <f>-L35*$C18</f>
        <v/>
      </c>
      <c r="M39" s="91">
        <f>-M35*$C18</f>
        <v/>
      </c>
      <c r="N39" s="91">
        <f>-N35*$C18</f>
        <v/>
      </c>
    </row>
    <row r="40" ht="15" customHeight="1" s="58">
      <c r="B40" s="70" t="inlineStr">
        <is>
          <t>GROSS PROFIT (£)</t>
        </is>
      </c>
      <c r="C40" s="92">
        <f>C35+C38+C39</f>
        <v/>
      </c>
      <c r="D40" s="92">
        <f>D35+D38+D39</f>
        <v/>
      </c>
      <c r="E40" s="92">
        <f>E35+E38+E39</f>
        <v/>
      </c>
      <c r="F40" s="92">
        <f>F35+F38+F39</f>
        <v/>
      </c>
      <c r="G40" s="92">
        <f>G35+G38+G39</f>
        <v/>
      </c>
      <c r="H40" s="92">
        <f>H35+H38+H39</f>
        <v/>
      </c>
      <c r="I40" s="92">
        <f>I35+I38+I39</f>
        <v/>
      </c>
      <c r="J40" s="92">
        <f>J35+J38+J39</f>
        <v/>
      </c>
      <c r="K40" s="92">
        <f>K35+K38+K39</f>
        <v/>
      </c>
      <c r="L40" s="92">
        <f>L35+L38+L39</f>
        <v/>
      </c>
      <c r="M40" s="92">
        <f>M35+M38+M39</f>
        <v/>
      </c>
      <c r="N40" s="92">
        <f>N35+N38+N39</f>
        <v/>
      </c>
    </row>
    <row r="41" ht="15" customHeight="1" s="58">
      <c r="B41" s="83" t="inlineStr">
        <is>
          <t>Gross Margin %</t>
        </is>
      </c>
      <c r="C41" s="93">
        <f>IFERROR(C40/C35,0)</f>
        <v/>
      </c>
      <c r="D41" s="93">
        <f>IFERROR(D40/D35,0)</f>
        <v/>
      </c>
      <c r="E41" s="93">
        <f>IFERROR(E40/E35,0)</f>
        <v/>
      </c>
      <c r="F41" s="93">
        <f>IFERROR(F40/F35,0)</f>
        <v/>
      </c>
      <c r="G41" s="93">
        <f>IFERROR(G40/G35,0)</f>
        <v/>
      </c>
      <c r="H41" s="93">
        <f>IFERROR(H40/H35,0)</f>
        <v/>
      </c>
      <c r="I41" s="93">
        <f>IFERROR(I40/I35,0)</f>
        <v/>
      </c>
      <c r="J41" s="93">
        <f>IFERROR(J40/J35,0)</f>
        <v/>
      </c>
      <c r="K41" s="93">
        <f>IFERROR(K40/K35,0)</f>
        <v/>
      </c>
      <c r="L41" s="93">
        <f>IFERROR(L40/L35,0)</f>
        <v/>
      </c>
      <c r="M41" s="93">
        <f>IFERROR(M40/M35,0)</f>
        <v/>
      </c>
      <c r="N41" s="93">
        <f>IFERROR(N40/N35,0)</f>
        <v/>
      </c>
    </row>
    <row r="43" ht="15" customHeight="1" s="58">
      <c r="B43" s="82" t="inlineStr">
        <is>
          <t>MARKETING COSTS</t>
        </is>
      </c>
    </row>
    <row r="44" ht="15" customHeight="1" s="58">
      <c r="B44" s="83" t="inlineStr">
        <is>
          <t>Paid Ad Spend (£)</t>
        </is>
      </c>
      <c r="C44" s="91">
        <f>-C19</f>
        <v/>
      </c>
      <c r="D44" s="91">
        <f>C44*(1+$C20)</f>
        <v/>
      </c>
      <c r="E44" s="91">
        <f>D44*(1+$C20)</f>
        <v/>
      </c>
      <c r="F44" s="91">
        <f>E44*(1+$C20)</f>
        <v/>
      </c>
      <c r="G44" s="91">
        <f>F44*(1+$C20)</f>
        <v/>
      </c>
      <c r="H44" s="91">
        <f>G44*(1+$C20)</f>
        <v/>
      </c>
      <c r="I44" s="91">
        <f>H44*(1+$C20)</f>
        <v/>
      </c>
      <c r="J44" s="91">
        <f>I44*(1+$C20)</f>
        <v/>
      </c>
      <c r="K44" s="91">
        <f>J44*(1+$C20)</f>
        <v/>
      </c>
      <c r="L44" s="91">
        <f>K44*(1+$C20)</f>
        <v/>
      </c>
      <c r="M44" s="91">
        <f>L44*(1+$C20)</f>
        <v/>
      </c>
      <c r="N44" s="91">
        <f>M44*(1+$C20)</f>
        <v/>
      </c>
    </row>
    <row r="45" ht="15" customHeight="1" s="58">
      <c r="B45" s="83" t="inlineStr">
        <is>
          <t>SEO &amp; Content (£)</t>
        </is>
      </c>
      <c r="C45" s="91" t="n">
        <v>-1200</v>
      </c>
      <c r="D45" s="91" t="n">
        <v>-1200</v>
      </c>
      <c r="E45" s="91" t="n">
        <v>-1200</v>
      </c>
      <c r="F45" s="91" t="n">
        <v>-1200</v>
      </c>
      <c r="G45" s="91" t="n">
        <v>-1200</v>
      </c>
      <c r="H45" s="91" t="n">
        <v>-1200</v>
      </c>
      <c r="I45" s="91" t="n">
        <v>-1200</v>
      </c>
      <c r="J45" s="91" t="n">
        <v>-1200</v>
      </c>
      <c r="K45" s="91" t="n">
        <v>-1200</v>
      </c>
      <c r="L45" s="91" t="n">
        <v>-1200</v>
      </c>
      <c r="M45" s="91" t="n">
        <v>-1200</v>
      </c>
      <c r="N45" s="91" t="n">
        <v>-1200</v>
      </c>
    </row>
    <row r="46" ht="15" customHeight="1" s="58">
      <c r="B46" s="83" t="inlineStr">
        <is>
          <t>Email Marketing (£)</t>
        </is>
      </c>
      <c r="C46" s="91" t="n">
        <v>-200</v>
      </c>
      <c r="D46" s="91" t="n">
        <v>-200</v>
      </c>
      <c r="E46" s="91" t="n">
        <v>-200</v>
      </c>
      <c r="F46" s="91" t="n">
        <v>-200</v>
      </c>
      <c r="G46" s="91" t="n">
        <v>-200</v>
      </c>
      <c r="H46" s="91" t="n">
        <v>-200</v>
      </c>
      <c r="I46" s="91" t="n">
        <v>-200</v>
      </c>
      <c r="J46" s="91" t="n">
        <v>-200</v>
      </c>
      <c r="K46" s="91" t="n">
        <v>-200</v>
      </c>
      <c r="L46" s="91" t="n">
        <v>-200</v>
      </c>
      <c r="M46" s="91" t="n">
        <v>-200</v>
      </c>
      <c r="N46" s="91" t="n">
        <v>-200</v>
      </c>
    </row>
    <row r="47" ht="15" customHeight="1" s="58">
      <c r="B47" s="70" t="inlineStr">
        <is>
          <t>TOTAL MARKETING (£)</t>
        </is>
      </c>
      <c r="C47" s="94">
        <f>C44+C45+C46</f>
        <v/>
      </c>
      <c r="D47" s="94">
        <f>D44+D45+D46</f>
        <v/>
      </c>
      <c r="E47" s="94">
        <f>E44+E45+E46</f>
        <v/>
      </c>
      <c r="F47" s="94">
        <f>F44+F45+F46</f>
        <v/>
      </c>
      <c r="G47" s="94">
        <f>G44+G45+G46</f>
        <v/>
      </c>
      <c r="H47" s="94">
        <f>H44+H45+H46</f>
        <v/>
      </c>
      <c r="I47" s="94">
        <f>I44+I45+I46</f>
        <v/>
      </c>
      <c r="J47" s="94">
        <f>J44+J45+J46</f>
        <v/>
      </c>
      <c r="K47" s="94">
        <f>K44+K45+K46</f>
        <v/>
      </c>
      <c r="L47" s="94">
        <f>L44+L45+L46</f>
        <v/>
      </c>
      <c r="M47" s="94">
        <f>M44+M45+M46</f>
        <v/>
      </c>
      <c r="N47" s="94">
        <f>N44+N45+N46</f>
        <v/>
      </c>
    </row>
    <row r="49" ht="15" customHeight="1" s="58">
      <c r="B49" s="82" t="inlineStr">
        <is>
          <t>OPERATIONAL COSTS</t>
        </is>
      </c>
    </row>
    <row r="50" ht="15" customHeight="1" s="58">
      <c r="B50" s="83" t="inlineStr">
        <is>
          <t>Platform &amp; Hosting (£)</t>
        </is>
      </c>
      <c r="C50" s="91" t="n">
        <v>-150</v>
      </c>
      <c r="D50" s="91" t="n">
        <v>-150</v>
      </c>
      <c r="E50" s="91" t="n">
        <v>-150</v>
      </c>
      <c r="F50" s="91" t="n">
        <v>-150</v>
      </c>
      <c r="G50" s="91" t="n">
        <v>-150</v>
      </c>
      <c r="H50" s="91" t="n">
        <v>-150</v>
      </c>
      <c r="I50" s="91" t="n">
        <v>-150</v>
      </c>
      <c r="J50" s="91" t="n">
        <v>-150</v>
      </c>
      <c r="K50" s="91" t="n">
        <v>-150</v>
      </c>
      <c r="L50" s="91" t="n">
        <v>-150</v>
      </c>
      <c r="M50" s="91" t="n">
        <v>-150</v>
      </c>
      <c r="N50" s="91" t="n">
        <v>-150</v>
      </c>
    </row>
    <row r="51" ht="15" customHeight="1" s="58">
      <c r="B51" s="83" t="inlineStr">
        <is>
          <t>Payment Processing (£)</t>
        </is>
      </c>
      <c r="C51" s="91">
        <f>-C35*0.025</f>
        <v/>
      </c>
      <c r="D51" s="91">
        <f>-D35*0.025</f>
        <v/>
      </c>
      <c r="E51" s="91">
        <f>-E35*0.025</f>
        <v/>
      </c>
      <c r="F51" s="91">
        <f>-F35*0.025</f>
        <v/>
      </c>
      <c r="G51" s="91">
        <f>-G35*0.025</f>
        <v/>
      </c>
      <c r="H51" s="91">
        <f>-H35*0.025</f>
        <v/>
      </c>
      <c r="I51" s="91">
        <f>-I35*0.025</f>
        <v/>
      </c>
      <c r="J51" s="91">
        <f>-J35*0.025</f>
        <v/>
      </c>
      <c r="K51" s="91">
        <f>-K35*0.025</f>
        <v/>
      </c>
      <c r="L51" s="91">
        <f>-L35*0.025</f>
        <v/>
      </c>
      <c r="M51" s="91">
        <f>-M35*0.025</f>
        <v/>
      </c>
      <c r="N51" s="91">
        <f>-N35*0.025</f>
        <v/>
      </c>
    </row>
    <row r="52" ht="15" customHeight="1" s="58">
      <c r="B52" s="83" t="inlineStr">
        <is>
          <t>Customer Service (£)</t>
        </is>
      </c>
      <c r="C52" s="91" t="n">
        <v>-800</v>
      </c>
      <c r="D52" s="91" t="n">
        <v>-800</v>
      </c>
      <c r="E52" s="91" t="n">
        <v>-800</v>
      </c>
      <c r="F52" s="91" t="n">
        <v>-800</v>
      </c>
      <c r="G52" s="91" t="n">
        <v>-800</v>
      </c>
      <c r="H52" s="91" t="n">
        <v>-800</v>
      </c>
      <c r="I52" s="91" t="n">
        <v>-800</v>
      </c>
      <c r="J52" s="91" t="n">
        <v>-800</v>
      </c>
      <c r="K52" s="91" t="n">
        <v>-800</v>
      </c>
      <c r="L52" s="91" t="n">
        <v>-800</v>
      </c>
      <c r="M52" s="91" t="n">
        <v>-800</v>
      </c>
      <c r="N52" s="91" t="n">
        <v>-800</v>
      </c>
    </row>
    <row r="53" ht="15" customHeight="1" s="58">
      <c r="B53" s="83" t="inlineStr">
        <is>
          <t>Software &amp; Tools (£)</t>
        </is>
      </c>
      <c r="C53" s="91" t="n">
        <v>-400</v>
      </c>
      <c r="D53" s="91" t="n">
        <v>-400</v>
      </c>
      <c r="E53" s="91" t="n">
        <v>-400</v>
      </c>
      <c r="F53" s="91" t="n">
        <v>-400</v>
      </c>
      <c r="G53" s="91" t="n">
        <v>-400</v>
      </c>
      <c r="H53" s="91" t="n">
        <v>-400</v>
      </c>
      <c r="I53" s="91" t="n">
        <v>-400</v>
      </c>
      <c r="J53" s="91" t="n">
        <v>-400</v>
      </c>
      <c r="K53" s="91" t="n">
        <v>-400</v>
      </c>
      <c r="L53" s="91" t="n">
        <v>-400</v>
      </c>
      <c r="M53" s="91" t="n">
        <v>-400</v>
      </c>
      <c r="N53" s="91" t="n">
        <v>-400</v>
      </c>
    </row>
    <row r="54" ht="15" customHeight="1" s="58">
      <c r="B54" s="70" t="inlineStr">
        <is>
          <t>TOTAL OPERATIONAL (£)</t>
        </is>
      </c>
      <c r="C54" s="94">
        <f>C50+C51+C52+C53</f>
        <v/>
      </c>
      <c r="D54" s="94">
        <f>D50+D51+D52+D53</f>
        <v/>
      </c>
      <c r="E54" s="94">
        <f>E50+E51+E52+E53</f>
        <v/>
      </c>
      <c r="F54" s="94">
        <f>F50+F51+F52+F53</f>
        <v/>
      </c>
      <c r="G54" s="94">
        <f>G50+G51+G52+G53</f>
        <v/>
      </c>
      <c r="H54" s="94">
        <f>H50+H51+H52+H53</f>
        <v/>
      </c>
      <c r="I54" s="94">
        <f>I50+I51+I52+I53</f>
        <v/>
      </c>
      <c r="J54" s="94">
        <f>J50+J51+J52+J53</f>
        <v/>
      </c>
      <c r="K54" s="94">
        <f>K50+K51+K52+K53</f>
        <v/>
      </c>
      <c r="L54" s="94">
        <f>L50+L51+L52+L53</f>
        <v/>
      </c>
      <c r="M54" s="94">
        <f>M50+M51+M52+M53</f>
        <v/>
      </c>
      <c r="N54" s="94">
        <f>N50+N51+N52+N53</f>
        <v/>
      </c>
    </row>
    <row r="56" ht="15" customHeight="1" s="58">
      <c r="B56" s="82" t="inlineStr">
        <is>
          <t>PROFITABILITY</t>
        </is>
      </c>
    </row>
    <row r="57" ht="15" customHeight="1" s="58">
      <c r="B57" s="70" t="inlineStr">
        <is>
          <t>CONTRIBUTION (£)</t>
        </is>
      </c>
      <c r="C57" s="95">
        <f>C40+C47+C54</f>
        <v/>
      </c>
      <c r="D57" s="95">
        <f>D40+D47+D54</f>
        <v/>
      </c>
      <c r="E57" s="95">
        <f>E40+E47+E54</f>
        <v/>
      </c>
      <c r="F57" s="95">
        <f>F40+F47+F54</f>
        <v/>
      </c>
      <c r="G57" s="95">
        <f>G40+G47+G54</f>
        <v/>
      </c>
      <c r="H57" s="95">
        <f>H40+H47+H54</f>
        <v/>
      </c>
      <c r="I57" s="95">
        <f>I40+I47+I54</f>
        <v/>
      </c>
      <c r="J57" s="95">
        <f>J40+J47+J54</f>
        <v/>
      </c>
      <c r="K57" s="95">
        <f>K40+K47+K54</f>
        <v/>
      </c>
      <c r="L57" s="95">
        <f>L40+L47+L54</f>
        <v/>
      </c>
      <c r="M57" s="95">
        <f>M40+M47+M54</f>
        <v/>
      </c>
      <c r="N57" s="95">
        <f>N40+N47+N54</f>
        <v/>
      </c>
    </row>
    <row r="58" ht="15" customHeight="1" s="58">
      <c r="B58" s="83" t="inlineStr">
        <is>
          <t>Cumulative Contribution (£)</t>
        </is>
      </c>
      <c r="C58" s="91">
        <f>C57</f>
        <v/>
      </c>
      <c r="D58" s="91">
        <f>C58+D57</f>
        <v/>
      </c>
      <c r="E58" s="91">
        <f>D58+E57</f>
        <v/>
      </c>
      <c r="F58" s="91">
        <f>E58+F57</f>
        <v/>
      </c>
      <c r="G58" s="91">
        <f>F58+G57</f>
        <v/>
      </c>
      <c r="H58" s="91">
        <f>G58+H57</f>
        <v/>
      </c>
      <c r="I58" s="91">
        <f>H58+I57</f>
        <v/>
      </c>
      <c r="J58" s="91">
        <f>I58+J57</f>
        <v/>
      </c>
      <c r="K58" s="91">
        <f>J58+K57</f>
        <v/>
      </c>
      <c r="L58" s="91">
        <f>K58+L57</f>
        <v/>
      </c>
      <c r="M58" s="91">
        <f>L58+M57</f>
        <v/>
      </c>
      <c r="N58" s="91">
        <f>M58+N57</f>
        <v/>
      </c>
    </row>
    <row r="60" ht="15" customHeight="1" s="58">
      <c r="B60" s="82" t="inlineStr">
        <is>
          <t>KEY PERFORMANCE INDICATORS</t>
        </is>
      </c>
    </row>
    <row r="61" ht="15" customHeight="1" s="58">
      <c r="B61" s="83" t="inlineStr">
        <is>
          <t>ROAS (Return on Ad Spend)</t>
        </is>
      </c>
      <c r="C61" s="96">
        <f>IFERROR(C35/ABS(C44),0)</f>
        <v/>
      </c>
      <c r="D61" s="96">
        <f>IFERROR(D35/ABS(D44),0)</f>
        <v/>
      </c>
      <c r="E61" s="96">
        <f>IFERROR(E35/ABS(E44),0)</f>
        <v/>
      </c>
      <c r="F61" s="96">
        <f>IFERROR(F35/ABS(F44),0)</f>
        <v/>
      </c>
      <c r="G61" s="96">
        <f>IFERROR(G35/ABS(G44),0)</f>
        <v/>
      </c>
      <c r="H61" s="96">
        <f>IFERROR(H35/ABS(H44),0)</f>
        <v/>
      </c>
      <c r="I61" s="96">
        <f>IFERROR(I35/ABS(I44),0)</f>
        <v/>
      </c>
      <c r="J61" s="96">
        <f>IFERROR(J35/ABS(J44),0)</f>
        <v/>
      </c>
      <c r="K61" s="96">
        <f>IFERROR(K35/ABS(K44),0)</f>
        <v/>
      </c>
      <c r="L61" s="96">
        <f>IFERROR(L35/ABS(L44),0)</f>
        <v/>
      </c>
      <c r="M61" s="96">
        <f>IFERROR(M35/ABS(M44),0)</f>
        <v/>
      </c>
      <c r="N61" s="96">
        <f>IFERROR(N35/ABS(N44),0)</f>
        <v/>
      </c>
    </row>
    <row r="62" ht="15" customHeight="1" s="58">
      <c r="B62" s="83" t="inlineStr">
        <is>
          <t>CAC (£) - Paid Only</t>
        </is>
      </c>
      <c r="C62" s="89">
        <f>IFERROR(ABS(C44)/C31,0)</f>
        <v/>
      </c>
      <c r="D62" s="89">
        <f>IFERROR(ABS(D44)/D31,0)</f>
        <v/>
      </c>
      <c r="E62" s="89">
        <f>IFERROR(ABS(E44)/E31,0)</f>
        <v/>
      </c>
      <c r="F62" s="89">
        <f>IFERROR(ABS(F44)/F31,0)</f>
        <v/>
      </c>
      <c r="G62" s="89">
        <f>IFERROR(ABS(G44)/G31,0)</f>
        <v/>
      </c>
      <c r="H62" s="89">
        <f>IFERROR(ABS(H44)/H31,0)</f>
        <v/>
      </c>
      <c r="I62" s="89">
        <f>IFERROR(ABS(I44)/I31,0)</f>
        <v/>
      </c>
      <c r="J62" s="89">
        <f>IFERROR(ABS(J44)/J31,0)</f>
        <v/>
      </c>
      <c r="K62" s="89">
        <f>IFERROR(ABS(K44)/K31,0)</f>
        <v/>
      </c>
      <c r="L62" s="89">
        <f>IFERROR(ABS(L44)/L31,0)</f>
        <v/>
      </c>
      <c r="M62" s="89">
        <f>IFERROR(ABS(M44)/M31,0)</f>
        <v/>
      </c>
      <c r="N62" s="89">
        <f>IFERROR(ABS(N44)/N31,0)</f>
        <v/>
      </c>
    </row>
    <row r="63" ht="15" customHeight="1" s="58">
      <c r="B63" s="83" t="inlineStr">
        <is>
          <t>Revenue per Visitor (£)</t>
        </is>
      </c>
      <c r="C63" s="89">
        <f>IFERROR(C35/C27,0)</f>
        <v/>
      </c>
      <c r="D63" s="89">
        <f>IFERROR(D35/D27,0)</f>
        <v/>
      </c>
      <c r="E63" s="89">
        <f>IFERROR(E35/E27,0)</f>
        <v/>
      </c>
      <c r="F63" s="89">
        <f>IFERROR(F35/F27,0)</f>
        <v/>
      </c>
      <c r="G63" s="89">
        <f>IFERROR(G35/G27,0)</f>
        <v/>
      </c>
      <c r="H63" s="89">
        <f>IFERROR(H35/H27,0)</f>
        <v/>
      </c>
      <c r="I63" s="89">
        <f>IFERROR(I35/I27,0)</f>
        <v/>
      </c>
      <c r="J63" s="89">
        <f>IFERROR(J35/J27,0)</f>
        <v/>
      </c>
      <c r="K63" s="89">
        <f>IFERROR(K35/K27,0)</f>
        <v/>
      </c>
      <c r="L63" s="89">
        <f>IFERROR(L35/L27,0)</f>
        <v/>
      </c>
      <c r="M63" s="89">
        <f>IFERROR(M35/M27,0)</f>
        <v/>
      </c>
      <c r="N63" s="89">
        <f>IFERROR(N35/N27,0)</f>
        <v/>
      </c>
    </row>
  </sheetData>
  <mergeCells count="1">
    <mergeCell ref="B2:N2"/>
  </mergeCells>
  <conditionalFormatting sqref="C35:N35">
    <cfRule type="dataBar" priority="2">
      <dataBar minLength="10" maxLength="90" showValue="1">
        <cfvo type="min" val="0"/>
        <cfvo type="max" val="0"/>
        <color rgb="FF4A90D9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N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7" min="1" max="1"/>
    <col width="28" customWidth="1" style="57" min="2" max="2"/>
    <col width="14" customWidth="1" style="57" min="3" max="14"/>
    <col width="35" customWidth="1" style="57" min="15" max="15"/>
  </cols>
  <sheetData>
    <row r="2" ht="30" customHeight="1" s="58">
      <c r="B2" s="80" t="inlineStr">
        <is>
          <t>SafetySignHub UK - 12 MONTH PROJECTION</t>
        </is>
      </c>
    </row>
    <row r="3" ht="15" customHeight="1" s="58">
      <c r="B3" s="73" t="inlineStr">
        <is>
          <t>Market: UK B2C | Status: Growth | Currency: GBP (£)</t>
        </is>
      </c>
    </row>
    <row r="5" ht="15" customHeight="1" s="58">
      <c r="B5" s="81" t="inlineStr">
        <is>
          <t>METRIC</t>
        </is>
      </c>
      <c r="C5" s="75" t="inlineStr">
        <is>
          <t>M1</t>
        </is>
      </c>
      <c r="D5" s="75" t="inlineStr">
        <is>
          <t>M2</t>
        </is>
      </c>
      <c r="E5" s="75" t="inlineStr">
        <is>
          <t>M3</t>
        </is>
      </c>
      <c r="F5" s="75" t="inlineStr">
        <is>
          <t>M4</t>
        </is>
      </c>
      <c r="G5" s="75" t="inlineStr">
        <is>
          <t>M5</t>
        </is>
      </c>
      <c r="H5" s="75" t="inlineStr">
        <is>
          <t>M6</t>
        </is>
      </c>
      <c r="I5" s="75" t="inlineStr">
        <is>
          <t>M7</t>
        </is>
      </c>
      <c r="J5" s="75" t="inlineStr">
        <is>
          <t>M8</t>
        </is>
      </c>
      <c r="K5" s="75" t="inlineStr">
        <is>
          <t>M9</t>
        </is>
      </c>
      <c r="L5" s="75" t="inlineStr">
        <is>
          <t>M10</t>
        </is>
      </c>
      <c r="M5" s="75" t="inlineStr">
        <is>
          <t>M11</t>
        </is>
      </c>
      <c r="N5" s="75" t="inlineStr">
        <is>
          <t>M12</t>
        </is>
      </c>
    </row>
    <row r="7" ht="15" customHeight="1" s="58">
      <c r="B7" s="82" t="inlineStr">
        <is>
          <t>KEY ASSUMPTIONS (Editable)</t>
        </is>
      </c>
    </row>
    <row r="8" ht="15" customHeight="1" s="58">
      <c r="B8" s="83" t="inlineStr">
        <is>
          <t>Starting Organic Traffic</t>
        </is>
      </c>
      <c r="C8" s="84" t="n">
        <v>500</v>
      </c>
      <c r="D8" s="85" t="inlineStr">
        <is>
          <t>visitors</t>
        </is>
      </c>
    </row>
    <row r="9" ht="15" customHeight="1" s="58">
      <c r="B9" s="83" t="inlineStr">
        <is>
          <t>Organic Growth Rate</t>
        </is>
      </c>
      <c r="C9" s="84" t="n">
        <v>0.08</v>
      </c>
      <c r="D9" s="85" t="inlineStr">
        <is>
          <t>decimal</t>
        </is>
      </c>
    </row>
    <row r="10" ht="15" customHeight="1" s="58">
      <c r="B10" s="83" t="inlineStr">
        <is>
          <t>Starting Paid Traffic</t>
        </is>
      </c>
      <c r="C10" s="84" t="n">
        <v>1000</v>
      </c>
      <c r="D10" s="85" t="inlineStr">
        <is>
          <t>visitors</t>
        </is>
      </c>
    </row>
    <row r="11" ht="15" customHeight="1" s="58">
      <c r="B11" s="83" t="inlineStr">
        <is>
          <t>Paid Growth Rate</t>
        </is>
      </c>
      <c r="C11" s="84" t="n">
        <v>0.08</v>
      </c>
      <c r="D11" s="85" t="inlineStr">
        <is>
          <t>decimal</t>
        </is>
      </c>
    </row>
    <row r="12" ht="15" customHeight="1" s="58">
      <c r="B12" s="83" t="inlineStr">
        <is>
          <t>Starting Conversion Rate</t>
        </is>
      </c>
      <c r="C12" s="84" t="n">
        <v>0.022</v>
      </c>
      <c r="D12" s="85" t="inlineStr">
        <is>
          <t>decimal</t>
        </is>
      </c>
    </row>
    <row r="13" ht="15" customHeight="1" s="58">
      <c r="B13" s="83" t="inlineStr">
        <is>
          <t>Conv. Rate Improvement</t>
        </is>
      </c>
      <c r="C13" s="84" t="n">
        <v>0.001</v>
      </c>
      <c r="D13" s="85" t="inlineStr">
        <is>
          <t>decimal</t>
        </is>
      </c>
    </row>
    <row r="14" ht="15" customHeight="1" s="58">
      <c r="B14" s="83" t="inlineStr">
        <is>
          <t>Max Conversion Rate</t>
        </is>
      </c>
      <c r="C14" s="84" t="n">
        <v>0.038</v>
      </c>
      <c r="D14" s="85" t="inlineStr">
        <is>
          <t>decimal</t>
        </is>
      </c>
    </row>
    <row r="15" ht="15" customHeight="1" s="58">
      <c r="B15" s="83" t="inlineStr">
        <is>
          <t>Average Order Value</t>
        </is>
      </c>
      <c r="C15" s="84" t="n">
        <v>75</v>
      </c>
      <c r="D15" s="85" t="inlineStr">
        <is>
          <t>currency</t>
        </is>
      </c>
    </row>
    <row r="16" ht="15" customHeight="1" s="58">
      <c r="B16" s="83" t="inlineStr">
        <is>
          <t>AOV Growth Rate</t>
        </is>
      </c>
      <c r="C16" s="84" t="n">
        <v>0.005</v>
      </c>
      <c r="D16" s="85" t="inlineStr">
        <is>
          <t>decimal</t>
        </is>
      </c>
    </row>
    <row r="17" ht="15" customHeight="1" s="58">
      <c r="B17" s="83" t="inlineStr">
        <is>
          <t>Gross Margin</t>
        </is>
      </c>
      <c r="C17" s="84" t="n">
        <v>0.38</v>
      </c>
      <c r="D17" s="85" t="inlineStr">
        <is>
          <t>decimal</t>
        </is>
      </c>
    </row>
    <row r="18" ht="15" customHeight="1" s="58">
      <c r="B18" s="83" t="inlineStr">
        <is>
          <t>Distribution Cost %</t>
        </is>
      </c>
      <c r="C18" s="84" t="n">
        <v>0.22</v>
      </c>
      <c r="D18" s="85" t="inlineStr">
        <is>
          <t>decimal</t>
        </is>
      </c>
    </row>
    <row r="19" ht="15" customHeight="1" s="58">
      <c r="B19" s="83" t="inlineStr">
        <is>
          <t>Starting Ad Spend</t>
        </is>
      </c>
      <c r="C19" s="84" t="n">
        <v>2000</v>
      </c>
      <c r="D19" s="85" t="inlineStr">
        <is>
          <t>currency</t>
        </is>
      </c>
    </row>
    <row r="20" ht="15" customHeight="1" s="58">
      <c r="B20" s="83" t="inlineStr">
        <is>
          <t>Ad Spend Growth</t>
        </is>
      </c>
      <c r="C20" s="84" t="n">
        <v>0.08</v>
      </c>
      <c r="D20" s="85" t="inlineStr">
        <is>
          <t>decimal</t>
        </is>
      </c>
    </row>
    <row r="21" ht="15" customHeight="1" s="58">
      <c r="B21" s="83" t="inlineStr">
        <is>
          <t>Cost Per Click</t>
        </is>
      </c>
      <c r="C21" s="84" t="n">
        <v>2</v>
      </c>
      <c r="D21" s="85" t="inlineStr">
        <is>
          <t>currency</t>
        </is>
      </c>
    </row>
    <row r="23" ht="15" customHeight="1" s="58">
      <c r="B23" s="82" t="inlineStr">
        <is>
          <t>TRAFFIC</t>
        </is>
      </c>
    </row>
    <row r="24" ht="15" customHeight="1" s="58">
      <c r="B24" s="83" t="inlineStr">
        <is>
          <t>Organic Traffic</t>
        </is>
      </c>
      <c r="C24" s="86">
        <f>C8</f>
        <v/>
      </c>
      <c r="D24" s="86">
        <f>C24*(1+$C9)</f>
        <v/>
      </c>
      <c r="E24" s="86">
        <f>D24*(1+$C9)</f>
        <v/>
      </c>
      <c r="F24" s="86">
        <f>E24*(1+$C9)</f>
        <v/>
      </c>
      <c r="G24" s="86">
        <f>F24*(1+$C9)</f>
        <v/>
      </c>
      <c r="H24" s="86">
        <f>G24*(1+$C9)</f>
        <v/>
      </c>
      <c r="I24" s="86">
        <f>H24*(1+$C9)</f>
        <v/>
      </c>
      <c r="J24" s="86">
        <f>I24*(1+$C9)</f>
        <v/>
      </c>
      <c r="K24" s="86">
        <f>J24*(1+$C9)</f>
        <v/>
      </c>
      <c r="L24" s="86">
        <f>K24*(1+$C9)</f>
        <v/>
      </c>
      <c r="M24" s="86">
        <f>L24*(1+$C9)</f>
        <v/>
      </c>
      <c r="N24" s="86">
        <f>M24*(1+$C9)</f>
        <v/>
      </c>
    </row>
    <row r="25" ht="15" customHeight="1" s="58">
      <c r="B25" s="83" t="inlineStr">
        <is>
          <t>Paid Traffic</t>
        </is>
      </c>
      <c r="C25" s="86">
        <f>C10</f>
        <v/>
      </c>
      <c r="D25" s="86">
        <f>C25*(1+$C11)</f>
        <v/>
      </c>
      <c r="E25" s="86">
        <f>D25*(1+$C11)</f>
        <v/>
      </c>
      <c r="F25" s="86">
        <f>E25*(1+$C11)</f>
        <v/>
      </c>
      <c r="G25" s="86">
        <f>F25*(1+$C11)</f>
        <v/>
      </c>
      <c r="H25" s="86">
        <f>G25*(1+$C11)</f>
        <v/>
      </c>
      <c r="I25" s="86">
        <f>H25*(1+$C11)</f>
        <v/>
      </c>
      <c r="J25" s="86">
        <f>I25*(1+$C11)</f>
        <v/>
      </c>
      <c r="K25" s="86">
        <f>J25*(1+$C11)</f>
        <v/>
      </c>
      <c r="L25" s="86">
        <f>K25*(1+$C11)</f>
        <v/>
      </c>
      <c r="M25" s="86">
        <f>L25*(1+$C11)</f>
        <v/>
      </c>
      <c r="N25" s="86">
        <f>M25*(1+$C11)</f>
        <v/>
      </c>
    </row>
    <row r="26" ht="15" customHeight="1" s="58">
      <c r="B26" s="83" t="inlineStr">
        <is>
          <t>Direct/Referral Traffic</t>
        </is>
      </c>
      <c r="C26" s="86">
        <f>C24*0.25</f>
        <v/>
      </c>
      <c r="D26" s="86">
        <f>D24*0.25</f>
        <v/>
      </c>
      <c r="E26" s="86">
        <f>E24*0.25</f>
        <v/>
      </c>
      <c r="F26" s="86">
        <f>F24*0.25</f>
        <v/>
      </c>
      <c r="G26" s="86">
        <f>G24*0.25</f>
        <v/>
      </c>
      <c r="H26" s="86">
        <f>H24*0.25</f>
        <v/>
      </c>
      <c r="I26" s="86">
        <f>I24*0.25</f>
        <v/>
      </c>
      <c r="J26" s="86">
        <f>J24*0.25</f>
        <v/>
      </c>
      <c r="K26" s="86">
        <f>K24*0.25</f>
        <v/>
      </c>
      <c r="L26" s="86">
        <f>L24*0.25</f>
        <v/>
      </c>
      <c r="M26" s="86">
        <f>M24*0.25</f>
        <v/>
      </c>
      <c r="N26" s="86">
        <f>N24*0.25</f>
        <v/>
      </c>
    </row>
    <row r="27" ht="15" customHeight="1" s="58">
      <c r="B27" s="70" t="inlineStr">
        <is>
          <t>TOTAL TRAFFIC</t>
        </is>
      </c>
      <c r="C27" s="87">
        <f>C24+C25+C26</f>
        <v/>
      </c>
      <c r="D27" s="87">
        <f>D24+D25+D26</f>
        <v/>
      </c>
      <c r="E27" s="87">
        <f>E24+E25+E26</f>
        <v/>
      </c>
      <c r="F27" s="87">
        <f>F24+F25+F26</f>
        <v/>
      </c>
      <c r="G27" s="87">
        <f>G24+G25+G26</f>
        <v/>
      </c>
      <c r="H27" s="87">
        <f>H24+H25+H26</f>
        <v/>
      </c>
      <c r="I27" s="87">
        <f>I24+I25+I26</f>
        <v/>
      </c>
      <c r="J27" s="87">
        <f>J24+J25+J26</f>
        <v/>
      </c>
      <c r="K27" s="87">
        <f>K24+K25+K26</f>
        <v/>
      </c>
      <c r="L27" s="87">
        <f>L24+L25+L26</f>
        <v/>
      </c>
      <c r="M27" s="87">
        <f>M24+M25+M26</f>
        <v/>
      </c>
      <c r="N27" s="87">
        <f>N24+N25+N26</f>
        <v/>
      </c>
    </row>
    <row r="29" ht="15" customHeight="1" s="58">
      <c r="B29" s="82" t="inlineStr">
        <is>
          <t>CONVERSION</t>
        </is>
      </c>
    </row>
    <row r="30" ht="15" customHeight="1" s="58">
      <c r="B30" s="83" t="inlineStr">
        <is>
          <t>Conversion Rate</t>
        </is>
      </c>
      <c r="C30" s="88">
        <f>C12</f>
        <v/>
      </c>
      <c r="D30" s="88">
        <f>MIN(C30+$C13,$C14)</f>
        <v/>
      </c>
      <c r="E30" s="88">
        <f>MIN(D30+$C13,$C14)</f>
        <v/>
      </c>
      <c r="F30" s="88">
        <f>MIN(E30+$C13,$C14)</f>
        <v/>
      </c>
      <c r="G30" s="88">
        <f>MIN(F30+$C13,$C14)</f>
        <v/>
      </c>
      <c r="H30" s="88">
        <f>MIN(G30+$C13,$C14)</f>
        <v/>
      </c>
      <c r="I30" s="88">
        <f>MIN(H30+$C13,$C14)</f>
        <v/>
      </c>
      <c r="J30" s="88">
        <f>MIN(I30+$C13,$C14)</f>
        <v/>
      </c>
      <c r="K30" s="88">
        <f>MIN(J30+$C13,$C14)</f>
        <v/>
      </c>
      <c r="L30" s="88">
        <f>MIN(K30+$C13,$C14)</f>
        <v/>
      </c>
      <c r="M30" s="88">
        <f>MIN(L30+$C13,$C14)</f>
        <v/>
      </c>
      <c r="N30" s="88">
        <f>MIN(M30+$C13,$C14)</f>
        <v/>
      </c>
    </row>
    <row r="31" ht="15" customHeight="1" s="58">
      <c r="B31" s="83" t="inlineStr">
        <is>
          <t>Orders</t>
        </is>
      </c>
      <c r="C31" s="86">
        <f>C27*C30</f>
        <v/>
      </c>
      <c r="D31" s="86">
        <f>D27*D30</f>
        <v/>
      </c>
      <c r="E31" s="86">
        <f>E27*E30</f>
        <v/>
      </c>
      <c r="F31" s="86">
        <f>F27*F30</f>
        <v/>
      </c>
      <c r="G31" s="86">
        <f>G27*G30</f>
        <v/>
      </c>
      <c r="H31" s="86">
        <f>H27*H30</f>
        <v/>
      </c>
      <c r="I31" s="86">
        <f>I27*I30</f>
        <v/>
      </c>
      <c r="J31" s="86">
        <f>J27*J30</f>
        <v/>
      </c>
      <c r="K31" s="86">
        <f>K27*K30</f>
        <v/>
      </c>
      <c r="L31" s="86">
        <f>L27*L30</f>
        <v/>
      </c>
      <c r="M31" s="86">
        <f>M27*M30</f>
        <v/>
      </c>
      <c r="N31" s="86">
        <f>N27*N30</f>
        <v/>
      </c>
    </row>
    <row r="33" ht="15" customHeight="1" s="58">
      <c r="B33" s="82" t="inlineStr">
        <is>
          <t>REVENUE</t>
        </is>
      </c>
    </row>
    <row r="34" ht="15" customHeight="1" s="58">
      <c r="B34" s="83" t="inlineStr">
        <is>
          <t>Average Order Value (£)</t>
        </is>
      </c>
      <c r="C34" s="89">
        <f>C15</f>
        <v/>
      </c>
      <c r="D34" s="89">
        <f>C34*(1+$C16)</f>
        <v/>
      </c>
      <c r="E34" s="89">
        <f>D34*(1+$C16)</f>
        <v/>
      </c>
      <c r="F34" s="89">
        <f>E34*(1+$C16)</f>
        <v/>
      </c>
      <c r="G34" s="89">
        <f>F34*(1+$C16)</f>
        <v/>
      </c>
      <c r="H34" s="89">
        <f>G34*(1+$C16)</f>
        <v/>
      </c>
      <c r="I34" s="89">
        <f>H34*(1+$C16)</f>
        <v/>
      </c>
      <c r="J34" s="89">
        <f>I34*(1+$C16)</f>
        <v/>
      </c>
      <c r="K34" s="89">
        <f>J34*(1+$C16)</f>
        <v/>
      </c>
      <c r="L34" s="89">
        <f>K34*(1+$C16)</f>
        <v/>
      </c>
      <c r="M34" s="89">
        <f>L34*(1+$C16)</f>
        <v/>
      </c>
      <c r="N34" s="89">
        <f>M34*(1+$C16)</f>
        <v/>
      </c>
    </row>
    <row r="35" ht="15" customHeight="1" s="58">
      <c r="B35" s="70" t="inlineStr">
        <is>
          <t>REVENUE (£)</t>
        </is>
      </c>
      <c r="C35" s="90">
        <f>C31*C34</f>
        <v/>
      </c>
      <c r="D35" s="90">
        <f>D31*D34</f>
        <v/>
      </c>
      <c r="E35" s="90">
        <f>E31*E34</f>
        <v/>
      </c>
      <c r="F35" s="90">
        <f>F31*F34</f>
        <v/>
      </c>
      <c r="G35" s="90">
        <f>G31*G34</f>
        <v/>
      </c>
      <c r="H35" s="90">
        <f>H31*H34</f>
        <v/>
      </c>
      <c r="I35" s="90">
        <f>I31*I34</f>
        <v/>
      </c>
      <c r="J35" s="90">
        <f>J31*J34</f>
        <v/>
      </c>
      <c r="K35" s="90">
        <f>K31*K34</f>
        <v/>
      </c>
      <c r="L35" s="90">
        <f>L31*L34</f>
        <v/>
      </c>
      <c r="M35" s="90">
        <f>M31*M34</f>
        <v/>
      </c>
      <c r="N35" s="90">
        <f>N31*N34</f>
        <v/>
      </c>
    </row>
    <row r="37" ht="15" customHeight="1" s="58">
      <c r="B37" s="82" t="inlineStr">
        <is>
          <t>COSTS</t>
        </is>
      </c>
    </row>
    <row r="38" ht="15" customHeight="1" s="58">
      <c r="B38" s="83" t="inlineStr">
        <is>
          <t>Cost of Goods Sold (£)</t>
        </is>
      </c>
      <c r="C38" s="91">
        <f>-C35*(1-$C17)</f>
        <v/>
      </c>
      <c r="D38" s="91">
        <f>-D35*(1-$C17)</f>
        <v/>
      </c>
      <c r="E38" s="91">
        <f>-E35*(1-$C17)</f>
        <v/>
      </c>
      <c r="F38" s="91">
        <f>-F35*(1-$C17)</f>
        <v/>
      </c>
      <c r="G38" s="91">
        <f>-G35*(1-$C17)</f>
        <v/>
      </c>
      <c r="H38" s="91">
        <f>-H35*(1-$C17)</f>
        <v/>
      </c>
      <c r="I38" s="91">
        <f>-I35*(1-$C17)</f>
        <v/>
      </c>
      <c r="J38" s="91">
        <f>-J35*(1-$C17)</f>
        <v/>
      </c>
      <c r="K38" s="91">
        <f>-K35*(1-$C17)</f>
        <v/>
      </c>
      <c r="L38" s="91">
        <f>-L35*(1-$C17)</f>
        <v/>
      </c>
      <c r="M38" s="91">
        <f>-M35*(1-$C17)</f>
        <v/>
      </c>
      <c r="N38" s="91">
        <f>-N35*(1-$C17)</f>
        <v/>
      </c>
    </row>
    <row r="39" ht="15" customHeight="1" s="58">
      <c r="B39" s="83" t="inlineStr">
        <is>
          <t>Distribution Costs (£)</t>
        </is>
      </c>
      <c r="C39" s="91">
        <f>-C35*$C18</f>
        <v/>
      </c>
      <c r="D39" s="91">
        <f>-D35*$C18</f>
        <v/>
      </c>
      <c r="E39" s="91">
        <f>-E35*$C18</f>
        <v/>
      </c>
      <c r="F39" s="91">
        <f>-F35*$C18</f>
        <v/>
      </c>
      <c r="G39" s="91">
        <f>-G35*$C18</f>
        <v/>
      </c>
      <c r="H39" s="91">
        <f>-H35*$C18</f>
        <v/>
      </c>
      <c r="I39" s="91">
        <f>-I35*$C18</f>
        <v/>
      </c>
      <c r="J39" s="91">
        <f>-J35*$C18</f>
        <v/>
      </c>
      <c r="K39" s="91">
        <f>-K35*$C18</f>
        <v/>
      </c>
      <c r="L39" s="91">
        <f>-L35*$C18</f>
        <v/>
      </c>
      <c r="M39" s="91">
        <f>-M35*$C18</f>
        <v/>
      </c>
      <c r="N39" s="91">
        <f>-N35*$C18</f>
        <v/>
      </c>
    </row>
    <row r="40" ht="15" customHeight="1" s="58">
      <c r="B40" s="70" t="inlineStr">
        <is>
          <t>GROSS PROFIT (£)</t>
        </is>
      </c>
      <c r="C40" s="92">
        <f>C35+C38+C39</f>
        <v/>
      </c>
      <c r="D40" s="92">
        <f>D35+D38+D39</f>
        <v/>
      </c>
      <c r="E40" s="92">
        <f>E35+E38+E39</f>
        <v/>
      </c>
      <c r="F40" s="92">
        <f>F35+F38+F39</f>
        <v/>
      </c>
      <c r="G40" s="92">
        <f>G35+G38+G39</f>
        <v/>
      </c>
      <c r="H40" s="92">
        <f>H35+H38+H39</f>
        <v/>
      </c>
      <c r="I40" s="92">
        <f>I35+I38+I39</f>
        <v/>
      </c>
      <c r="J40" s="92">
        <f>J35+J38+J39</f>
        <v/>
      </c>
      <c r="K40" s="92">
        <f>K35+K38+K39</f>
        <v/>
      </c>
      <c r="L40" s="92">
        <f>L35+L38+L39</f>
        <v/>
      </c>
      <c r="M40" s="92">
        <f>M35+M38+M39</f>
        <v/>
      </c>
      <c r="N40" s="92">
        <f>N35+N38+N39</f>
        <v/>
      </c>
    </row>
    <row r="41" ht="15" customHeight="1" s="58">
      <c r="B41" s="83" t="inlineStr">
        <is>
          <t>Gross Margin %</t>
        </is>
      </c>
      <c r="C41" s="93">
        <f>IFERROR(C40/C35,0)</f>
        <v/>
      </c>
      <c r="D41" s="93">
        <f>IFERROR(D40/D35,0)</f>
        <v/>
      </c>
      <c r="E41" s="93">
        <f>IFERROR(E40/E35,0)</f>
        <v/>
      </c>
      <c r="F41" s="93">
        <f>IFERROR(F40/F35,0)</f>
        <v/>
      </c>
      <c r="G41" s="93">
        <f>IFERROR(G40/G35,0)</f>
        <v/>
      </c>
      <c r="H41" s="93">
        <f>IFERROR(H40/H35,0)</f>
        <v/>
      </c>
      <c r="I41" s="93">
        <f>IFERROR(I40/I35,0)</f>
        <v/>
      </c>
      <c r="J41" s="93">
        <f>IFERROR(J40/J35,0)</f>
        <v/>
      </c>
      <c r="K41" s="93">
        <f>IFERROR(K40/K35,0)</f>
        <v/>
      </c>
      <c r="L41" s="93">
        <f>IFERROR(L40/L35,0)</f>
        <v/>
      </c>
      <c r="M41" s="93">
        <f>IFERROR(M40/M35,0)</f>
        <v/>
      </c>
      <c r="N41" s="93">
        <f>IFERROR(N40/N35,0)</f>
        <v/>
      </c>
    </row>
    <row r="43" ht="15" customHeight="1" s="58">
      <c r="B43" s="82" t="inlineStr">
        <is>
          <t>MARKETING COSTS</t>
        </is>
      </c>
    </row>
    <row r="44" ht="15" customHeight="1" s="58">
      <c r="B44" s="83" t="inlineStr">
        <is>
          <t>Paid Ad Spend (£)</t>
        </is>
      </c>
      <c r="C44" s="91">
        <f>-C19</f>
        <v/>
      </c>
      <c r="D44" s="91">
        <f>C44*(1+$C20)</f>
        <v/>
      </c>
      <c r="E44" s="91">
        <f>D44*(1+$C20)</f>
        <v/>
      </c>
      <c r="F44" s="91">
        <f>E44*(1+$C20)</f>
        <v/>
      </c>
      <c r="G44" s="91">
        <f>F44*(1+$C20)</f>
        <v/>
      </c>
      <c r="H44" s="91">
        <f>G44*(1+$C20)</f>
        <v/>
      </c>
      <c r="I44" s="91">
        <f>H44*(1+$C20)</f>
        <v/>
      </c>
      <c r="J44" s="91">
        <f>I44*(1+$C20)</f>
        <v/>
      </c>
      <c r="K44" s="91">
        <f>J44*(1+$C20)</f>
        <v/>
      </c>
      <c r="L44" s="91">
        <f>K44*(1+$C20)</f>
        <v/>
      </c>
      <c r="M44" s="91">
        <f>L44*(1+$C20)</f>
        <v/>
      </c>
      <c r="N44" s="91">
        <f>M44*(1+$C20)</f>
        <v/>
      </c>
    </row>
    <row r="45" ht="15" customHeight="1" s="58">
      <c r="B45" s="83" t="inlineStr">
        <is>
          <t>SEO &amp; Content (£)</t>
        </is>
      </c>
      <c r="C45" s="91" t="n">
        <v>-1000</v>
      </c>
      <c r="D45" s="91" t="n">
        <v>-1000</v>
      </c>
      <c r="E45" s="91" t="n">
        <v>-1000</v>
      </c>
      <c r="F45" s="91" t="n">
        <v>-1000</v>
      </c>
      <c r="G45" s="91" t="n">
        <v>-1000</v>
      </c>
      <c r="H45" s="91" t="n">
        <v>-1000</v>
      </c>
      <c r="I45" s="91" t="n">
        <v>-1000</v>
      </c>
      <c r="J45" s="91" t="n">
        <v>-1000</v>
      </c>
      <c r="K45" s="91" t="n">
        <v>-1000</v>
      </c>
      <c r="L45" s="91" t="n">
        <v>-1000</v>
      </c>
      <c r="M45" s="91" t="n">
        <v>-1000</v>
      </c>
      <c r="N45" s="91" t="n">
        <v>-1000</v>
      </c>
    </row>
    <row r="46" ht="15" customHeight="1" s="58">
      <c r="B46" s="83" t="inlineStr">
        <is>
          <t>Email Marketing (£)</t>
        </is>
      </c>
      <c r="C46" s="91" t="n">
        <v>-400</v>
      </c>
      <c r="D46" s="91" t="n">
        <v>-400</v>
      </c>
      <c r="E46" s="91" t="n">
        <v>-400</v>
      </c>
      <c r="F46" s="91" t="n">
        <v>-400</v>
      </c>
      <c r="G46" s="91" t="n">
        <v>-400</v>
      </c>
      <c r="H46" s="91" t="n">
        <v>-400</v>
      </c>
      <c r="I46" s="91" t="n">
        <v>-400</v>
      </c>
      <c r="J46" s="91" t="n">
        <v>-400</v>
      </c>
      <c r="K46" s="91" t="n">
        <v>-400</v>
      </c>
      <c r="L46" s="91" t="n">
        <v>-400</v>
      </c>
      <c r="M46" s="91" t="n">
        <v>-400</v>
      </c>
      <c r="N46" s="91" t="n">
        <v>-400</v>
      </c>
    </row>
    <row r="47" ht="15" customHeight="1" s="58">
      <c r="B47" s="70" t="inlineStr">
        <is>
          <t>TOTAL MARKETING (£)</t>
        </is>
      </c>
      <c r="C47" s="94">
        <f>C44+C45+C46</f>
        <v/>
      </c>
      <c r="D47" s="94">
        <f>D44+D45+D46</f>
        <v/>
      </c>
      <c r="E47" s="94">
        <f>E44+E45+E46</f>
        <v/>
      </c>
      <c r="F47" s="94">
        <f>F44+F45+F46</f>
        <v/>
      </c>
      <c r="G47" s="94">
        <f>G44+G45+G46</f>
        <v/>
      </c>
      <c r="H47" s="94">
        <f>H44+H45+H46</f>
        <v/>
      </c>
      <c r="I47" s="94">
        <f>I44+I45+I46</f>
        <v/>
      </c>
      <c r="J47" s="94">
        <f>J44+J45+J46</f>
        <v/>
      </c>
      <c r="K47" s="94">
        <f>K44+K45+K46</f>
        <v/>
      </c>
      <c r="L47" s="94">
        <f>L44+L45+L46</f>
        <v/>
      </c>
      <c r="M47" s="94">
        <f>M44+M45+M46</f>
        <v/>
      </c>
      <c r="N47" s="94">
        <f>N44+N45+N46</f>
        <v/>
      </c>
    </row>
    <row r="49" ht="15" customHeight="1" s="58">
      <c r="B49" s="82" t="inlineStr">
        <is>
          <t>OPERATIONAL COSTS</t>
        </is>
      </c>
    </row>
    <row r="50" ht="15" customHeight="1" s="58">
      <c r="B50" s="83" t="inlineStr">
        <is>
          <t>Platform &amp; Hosting (£)</t>
        </is>
      </c>
      <c r="C50" s="91" t="n">
        <v>-180</v>
      </c>
      <c r="D50" s="91" t="n">
        <v>-180</v>
      </c>
      <c r="E50" s="91" t="n">
        <v>-180</v>
      </c>
      <c r="F50" s="91" t="n">
        <v>-180</v>
      </c>
      <c r="G50" s="91" t="n">
        <v>-180</v>
      </c>
      <c r="H50" s="91" t="n">
        <v>-180</v>
      </c>
      <c r="I50" s="91" t="n">
        <v>-180</v>
      </c>
      <c r="J50" s="91" t="n">
        <v>-180</v>
      </c>
      <c r="K50" s="91" t="n">
        <v>-180</v>
      </c>
      <c r="L50" s="91" t="n">
        <v>-180</v>
      </c>
      <c r="M50" s="91" t="n">
        <v>-180</v>
      </c>
      <c r="N50" s="91" t="n">
        <v>-180</v>
      </c>
    </row>
    <row r="51" ht="15" customHeight="1" s="58">
      <c r="B51" s="83" t="inlineStr">
        <is>
          <t>Payment Processing (£)</t>
        </is>
      </c>
      <c r="C51" s="91">
        <f>-C35*0.029</f>
        <v/>
      </c>
      <c r="D51" s="91">
        <f>-D35*0.029</f>
        <v/>
      </c>
      <c r="E51" s="91">
        <f>-E35*0.029</f>
        <v/>
      </c>
      <c r="F51" s="91">
        <f>-F35*0.029</f>
        <v/>
      </c>
      <c r="G51" s="91">
        <f>-G35*0.029</f>
        <v/>
      </c>
      <c r="H51" s="91">
        <f>-H35*0.029</f>
        <v/>
      </c>
      <c r="I51" s="91">
        <f>-I35*0.029</f>
        <v/>
      </c>
      <c r="J51" s="91">
        <f>-J35*0.029</f>
        <v/>
      </c>
      <c r="K51" s="91">
        <f>-K35*0.029</f>
        <v/>
      </c>
      <c r="L51" s="91">
        <f>-L35*0.029</f>
        <v/>
      </c>
      <c r="M51" s="91">
        <f>-M35*0.029</f>
        <v/>
      </c>
      <c r="N51" s="91">
        <f>-N35*0.029</f>
        <v/>
      </c>
    </row>
    <row r="52" ht="15" customHeight="1" s="58">
      <c r="B52" s="83" t="inlineStr">
        <is>
          <t>Customer Service (£)</t>
        </is>
      </c>
      <c r="C52" s="91" t="n">
        <v>-1200</v>
      </c>
      <c r="D52" s="91" t="n">
        <v>-1200</v>
      </c>
      <c r="E52" s="91" t="n">
        <v>-1200</v>
      </c>
      <c r="F52" s="91" t="n">
        <v>-1200</v>
      </c>
      <c r="G52" s="91" t="n">
        <v>-1200</v>
      </c>
      <c r="H52" s="91" t="n">
        <v>-1200</v>
      </c>
      <c r="I52" s="91" t="n">
        <v>-1200</v>
      </c>
      <c r="J52" s="91" t="n">
        <v>-1200</v>
      </c>
      <c r="K52" s="91" t="n">
        <v>-1200</v>
      </c>
      <c r="L52" s="91" t="n">
        <v>-1200</v>
      </c>
      <c r="M52" s="91" t="n">
        <v>-1200</v>
      </c>
      <c r="N52" s="91" t="n">
        <v>-1200</v>
      </c>
    </row>
    <row r="53" ht="15" customHeight="1" s="58">
      <c r="B53" s="83" t="inlineStr">
        <is>
          <t>Software &amp; Tools (£)</t>
        </is>
      </c>
      <c r="C53" s="91" t="n">
        <v>-350</v>
      </c>
      <c r="D53" s="91" t="n">
        <v>-350</v>
      </c>
      <c r="E53" s="91" t="n">
        <v>-350</v>
      </c>
      <c r="F53" s="91" t="n">
        <v>-350</v>
      </c>
      <c r="G53" s="91" t="n">
        <v>-350</v>
      </c>
      <c r="H53" s="91" t="n">
        <v>-350</v>
      </c>
      <c r="I53" s="91" t="n">
        <v>-350</v>
      </c>
      <c r="J53" s="91" t="n">
        <v>-350</v>
      </c>
      <c r="K53" s="91" t="n">
        <v>-350</v>
      </c>
      <c r="L53" s="91" t="n">
        <v>-350</v>
      </c>
      <c r="M53" s="91" t="n">
        <v>-350</v>
      </c>
      <c r="N53" s="91" t="n">
        <v>-350</v>
      </c>
    </row>
    <row r="54" ht="15" customHeight="1" s="58">
      <c r="B54" s="70" t="inlineStr">
        <is>
          <t>TOTAL OPERATIONAL (£)</t>
        </is>
      </c>
      <c r="C54" s="94">
        <f>C50+C51+C52+C53</f>
        <v/>
      </c>
      <c r="D54" s="94">
        <f>D50+D51+D52+D53</f>
        <v/>
      </c>
      <c r="E54" s="94">
        <f>E50+E51+E52+E53</f>
        <v/>
      </c>
      <c r="F54" s="94">
        <f>F50+F51+F52+F53</f>
        <v/>
      </c>
      <c r="G54" s="94">
        <f>G50+G51+G52+G53</f>
        <v/>
      </c>
      <c r="H54" s="94">
        <f>H50+H51+H52+H53</f>
        <v/>
      </c>
      <c r="I54" s="94">
        <f>I50+I51+I52+I53</f>
        <v/>
      </c>
      <c r="J54" s="94">
        <f>J50+J51+J52+J53</f>
        <v/>
      </c>
      <c r="K54" s="94">
        <f>K50+K51+K52+K53</f>
        <v/>
      </c>
      <c r="L54" s="94">
        <f>L50+L51+L52+L53</f>
        <v/>
      </c>
      <c r="M54" s="94">
        <f>M50+M51+M52+M53</f>
        <v/>
      </c>
      <c r="N54" s="94">
        <f>N50+N51+N52+N53</f>
        <v/>
      </c>
    </row>
    <row r="56" ht="15" customHeight="1" s="58">
      <c r="B56" s="82" t="inlineStr">
        <is>
          <t>PROFITABILITY</t>
        </is>
      </c>
    </row>
    <row r="57" ht="15" customHeight="1" s="58">
      <c r="B57" s="70" t="inlineStr">
        <is>
          <t>CONTRIBUTION (£)</t>
        </is>
      </c>
      <c r="C57" s="95">
        <f>C40+C47+C54</f>
        <v/>
      </c>
      <c r="D57" s="95">
        <f>D40+D47+D54</f>
        <v/>
      </c>
      <c r="E57" s="95">
        <f>E40+E47+E54</f>
        <v/>
      </c>
      <c r="F57" s="95">
        <f>F40+F47+F54</f>
        <v/>
      </c>
      <c r="G57" s="95">
        <f>G40+G47+G54</f>
        <v/>
      </c>
      <c r="H57" s="95">
        <f>H40+H47+H54</f>
        <v/>
      </c>
      <c r="I57" s="95">
        <f>I40+I47+I54</f>
        <v/>
      </c>
      <c r="J57" s="95">
        <f>J40+J47+J54</f>
        <v/>
      </c>
      <c r="K57" s="95">
        <f>K40+K47+K54</f>
        <v/>
      </c>
      <c r="L57" s="95">
        <f>L40+L47+L54</f>
        <v/>
      </c>
      <c r="M57" s="95">
        <f>M40+M47+M54</f>
        <v/>
      </c>
      <c r="N57" s="95">
        <f>N40+N47+N54</f>
        <v/>
      </c>
    </row>
    <row r="58" ht="15" customHeight="1" s="58">
      <c r="B58" s="83" t="inlineStr">
        <is>
          <t>Cumulative Contribution (£)</t>
        </is>
      </c>
      <c r="C58" s="91">
        <f>C57</f>
        <v/>
      </c>
      <c r="D58" s="91">
        <f>C58+D57</f>
        <v/>
      </c>
      <c r="E58" s="91">
        <f>D58+E57</f>
        <v/>
      </c>
      <c r="F58" s="91">
        <f>E58+F57</f>
        <v/>
      </c>
      <c r="G58" s="91">
        <f>F58+G57</f>
        <v/>
      </c>
      <c r="H58" s="91">
        <f>G58+H57</f>
        <v/>
      </c>
      <c r="I58" s="91">
        <f>H58+I57</f>
        <v/>
      </c>
      <c r="J58" s="91">
        <f>I58+J57</f>
        <v/>
      </c>
      <c r="K58" s="91">
        <f>J58+K57</f>
        <v/>
      </c>
      <c r="L58" s="91">
        <f>K58+L57</f>
        <v/>
      </c>
      <c r="M58" s="91">
        <f>L58+M57</f>
        <v/>
      </c>
      <c r="N58" s="91">
        <f>M58+N57</f>
        <v/>
      </c>
    </row>
    <row r="60" ht="15" customHeight="1" s="58">
      <c r="B60" s="82" t="inlineStr">
        <is>
          <t>KEY PERFORMANCE INDICATORS</t>
        </is>
      </c>
    </row>
    <row r="61" ht="15" customHeight="1" s="58">
      <c r="B61" s="83" t="inlineStr">
        <is>
          <t>ROAS (Return on Ad Spend)</t>
        </is>
      </c>
      <c r="C61" s="96">
        <f>IFERROR(C35/ABS(C44),0)</f>
        <v/>
      </c>
      <c r="D61" s="96">
        <f>IFERROR(D35/ABS(D44),0)</f>
        <v/>
      </c>
      <c r="E61" s="96">
        <f>IFERROR(E35/ABS(E44),0)</f>
        <v/>
      </c>
      <c r="F61" s="96">
        <f>IFERROR(F35/ABS(F44),0)</f>
        <v/>
      </c>
      <c r="G61" s="96">
        <f>IFERROR(G35/ABS(G44),0)</f>
        <v/>
      </c>
      <c r="H61" s="96">
        <f>IFERROR(H35/ABS(H44),0)</f>
        <v/>
      </c>
      <c r="I61" s="96">
        <f>IFERROR(I35/ABS(I44),0)</f>
        <v/>
      </c>
      <c r="J61" s="96">
        <f>IFERROR(J35/ABS(J44),0)</f>
        <v/>
      </c>
      <c r="K61" s="96">
        <f>IFERROR(K35/ABS(K44),0)</f>
        <v/>
      </c>
      <c r="L61" s="96">
        <f>IFERROR(L35/ABS(L44),0)</f>
        <v/>
      </c>
      <c r="M61" s="96">
        <f>IFERROR(M35/ABS(M44),0)</f>
        <v/>
      </c>
      <c r="N61" s="96">
        <f>IFERROR(N35/ABS(N44),0)</f>
        <v/>
      </c>
    </row>
    <row r="62" ht="15" customHeight="1" s="58">
      <c r="B62" s="83" t="inlineStr">
        <is>
          <t>CAC (£) - Paid Only</t>
        </is>
      </c>
      <c r="C62" s="89">
        <f>IFERROR(ABS(C44)/C31,0)</f>
        <v/>
      </c>
      <c r="D62" s="89">
        <f>IFERROR(ABS(D44)/D31,0)</f>
        <v/>
      </c>
      <c r="E62" s="89">
        <f>IFERROR(ABS(E44)/E31,0)</f>
        <v/>
      </c>
      <c r="F62" s="89">
        <f>IFERROR(ABS(F44)/F31,0)</f>
        <v/>
      </c>
      <c r="G62" s="89">
        <f>IFERROR(ABS(G44)/G31,0)</f>
        <v/>
      </c>
      <c r="H62" s="89">
        <f>IFERROR(ABS(H44)/H31,0)</f>
        <v/>
      </c>
      <c r="I62" s="89">
        <f>IFERROR(ABS(I44)/I31,0)</f>
        <v/>
      </c>
      <c r="J62" s="89">
        <f>IFERROR(ABS(J44)/J31,0)</f>
        <v/>
      </c>
      <c r="K62" s="89">
        <f>IFERROR(ABS(K44)/K31,0)</f>
        <v/>
      </c>
      <c r="L62" s="89">
        <f>IFERROR(ABS(L44)/L31,0)</f>
        <v/>
      </c>
      <c r="M62" s="89">
        <f>IFERROR(ABS(M44)/M31,0)</f>
        <v/>
      </c>
      <c r="N62" s="89">
        <f>IFERROR(ABS(N44)/N31,0)</f>
        <v/>
      </c>
    </row>
    <row r="63" ht="15" customHeight="1" s="58">
      <c r="B63" s="83" t="inlineStr">
        <is>
          <t>Revenue per Visitor (£)</t>
        </is>
      </c>
      <c r="C63" s="89">
        <f>IFERROR(C35/C27,0)</f>
        <v/>
      </c>
      <c r="D63" s="89">
        <f>IFERROR(D35/D27,0)</f>
        <v/>
      </c>
      <c r="E63" s="89">
        <f>IFERROR(E35/E27,0)</f>
        <v/>
      </c>
      <c r="F63" s="89">
        <f>IFERROR(F35/F27,0)</f>
        <v/>
      </c>
      <c r="G63" s="89">
        <f>IFERROR(G35/G27,0)</f>
        <v/>
      </c>
      <c r="H63" s="89">
        <f>IFERROR(H35/H27,0)</f>
        <v/>
      </c>
      <c r="I63" s="89">
        <f>IFERROR(I35/I27,0)</f>
        <v/>
      </c>
      <c r="J63" s="89">
        <f>IFERROR(J35/J27,0)</f>
        <v/>
      </c>
      <c r="K63" s="89">
        <f>IFERROR(K35/K27,0)</f>
        <v/>
      </c>
      <c r="L63" s="89">
        <f>IFERROR(L35/L27,0)</f>
        <v/>
      </c>
      <c r="M63" s="89">
        <f>IFERROR(M35/M27,0)</f>
        <v/>
      </c>
      <c r="N63" s="89">
        <f>IFERROR(N35/N27,0)</f>
        <v/>
      </c>
    </row>
  </sheetData>
  <mergeCells count="1">
    <mergeCell ref="B2:N2"/>
  </mergeCells>
  <conditionalFormatting sqref="C35:N35">
    <cfRule type="dataBar" priority="2">
      <dataBar minLength="10" maxLength="90" showValue="1">
        <cfvo type="min" val="0"/>
        <cfvo type="max" val="0"/>
        <color rgb="FF4A90D9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N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7" min="1" max="1"/>
    <col width="28" customWidth="1" style="57" min="2" max="2"/>
    <col width="14" customWidth="1" style="57" min="3" max="14"/>
    <col width="35" customWidth="1" style="57" min="15" max="15"/>
  </cols>
  <sheetData>
    <row r="2" ht="30" customHeight="1" s="58">
      <c r="B2" s="80" t="inlineStr">
        <is>
          <t>SafetySignHub USA - 12 MONTH PROJECTION</t>
        </is>
      </c>
    </row>
    <row r="3" ht="15" customHeight="1" s="58">
      <c r="B3" s="73" t="inlineStr">
        <is>
          <t>Market: USA B2C | Status: Launch | Currency: GBP (£)</t>
        </is>
      </c>
    </row>
    <row r="5" ht="15" customHeight="1" s="58">
      <c r="B5" s="81" t="inlineStr">
        <is>
          <t>METRIC</t>
        </is>
      </c>
      <c r="C5" s="75" t="inlineStr">
        <is>
          <t>M1</t>
        </is>
      </c>
      <c r="D5" s="75" t="inlineStr">
        <is>
          <t>M2</t>
        </is>
      </c>
      <c r="E5" s="75" t="inlineStr">
        <is>
          <t>M3</t>
        </is>
      </c>
      <c r="F5" s="75" t="inlineStr">
        <is>
          <t>M4</t>
        </is>
      </c>
      <c r="G5" s="75" t="inlineStr">
        <is>
          <t>M5</t>
        </is>
      </c>
      <c r="H5" s="75" t="inlineStr">
        <is>
          <t>M6</t>
        </is>
      </c>
      <c r="I5" s="75" t="inlineStr">
        <is>
          <t>M7</t>
        </is>
      </c>
      <c r="J5" s="75" t="inlineStr">
        <is>
          <t>M8</t>
        </is>
      </c>
      <c r="K5" s="75" t="inlineStr">
        <is>
          <t>M9</t>
        </is>
      </c>
      <c r="L5" s="75" t="inlineStr">
        <is>
          <t>M10</t>
        </is>
      </c>
      <c r="M5" s="75" t="inlineStr">
        <is>
          <t>M11</t>
        </is>
      </c>
      <c r="N5" s="75" t="inlineStr">
        <is>
          <t>M12</t>
        </is>
      </c>
    </row>
    <row r="7" ht="15" customHeight="1" s="58">
      <c r="B7" s="82" t="inlineStr">
        <is>
          <t>KEY ASSUMPTIONS (Editable)</t>
        </is>
      </c>
    </row>
    <row r="8" ht="15" customHeight="1" s="58">
      <c r="B8" s="83" t="inlineStr">
        <is>
          <t>Starting Organic Traffic</t>
        </is>
      </c>
      <c r="C8" s="84" t="n">
        <v>300</v>
      </c>
      <c r="D8" s="85" t="inlineStr">
        <is>
          <t>visitors</t>
        </is>
      </c>
    </row>
    <row r="9" ht="15" customHeight="1" s="58">
      <c r="B9" s="83" t="inlineStr">
        <is>
          <t>Organic Growth Rate</t>
        </is>
      </c>
      <c r="C9" s="84" t="n">
        <v>0.15</v>
      </c>
      <c r="D9" s="85" t="inlineStr">
        <is>
          <t>decimal</t>
        </is>
      </c>
    </row>
    <row r="10" ht="15" customHeight="1" s="58">
      <c r="B10" s="83" t="inlineStr">
        <is>
          <t>Starting Paid Traffic</t>
        </is>
      </c>
      <c r="C10" s="84" t="n">
        <v>1500</v>
      </c>
      <c r="D10" s="85" t="inlineStr">
        <is>
          <t>visitors</t>
        </is>
      </c>
    </row>
    <row r="11" ht="15" customHeight="1" s="58">
      <c r="B11" s="83" t="inlineStr">
        <is>
          <t>Paid Growth Rate</t>
        </is>
      </c>
      <c r="C11" s="84" t="n">
        <v>0.12</v>
      </c>
      <c r="D11" s="85" t="inlineStr">
        <is>
          <t>decimal</t>
        </is>
      </c>
    </row>
    <row r="12" ht="15" customHeight="1" s="58">
      <c r="B12" s="83" t="inlineStr">
        <is>
          <t>Starting Conversion Rate</t>
        </is>
      </c>
      <c r="C12" s="84" t="n">
        <v>0.02</v>
      </c>
      <c r="D12" s="85" t="inlineStr">
        <is>
          <t>decimal</t>
        </is>
      </c>
    </row>
    <row r="13" ht="15" customHeight="1" s="58">
      <c r="B13" s="83" t="inlineStr">
        <is>
          <t>Conv. Rate Improvement</t>
        </is>
      </c>
      <c r="C13" s="84" t="n">
        <v>0.0012</v>
      </c>
      <c r="D13" s="85" t="inlineStr">
        <is>
          <t>decimal</t>
        </is>
      </c>
    </row>
    <row r="14" ht="15" customHeight="1" s="58">
      <c r="B14" s="83" t="inlineStr">
        <is>
          <t>Max Conversion Rate</t>
        </is>
      </c>
      <c r="C14" s="84" t="n">
        <v>0.035</v>
      </c>
      <c r="D14" s="85" t="inlineStr">
        <is>
          <t>decimal</t>
        </is>
      </c>
    </row>
    <row r="15" ht="15" customHeight="1" s="58">
      <c r="B15" s="83" t="inlineStr">
        <is>
          <t>Average Order Value</t>
        </is>
      </c>
      <c r="C15" s="84" t="n">
        <v>90</v>
      </c>
      <c r="D15" s="85" t="inlineStr">
        <is>
          <t>currency</t>
        </is>
      </c>
    </row>
    <row r="16" ht="15" customHeight="1" s="58">
      <c r="B16" s="83" t="inlineStr">
        <is>
          <t>AOV Growth Rate</t>
        </is>
      </c>
      <c r="C16" s="84" t="n">
        <v>0.01</v>
      </c>
      <c r="D16" s="85" t="inlineStr">
        <is>
          <t>decimal</t>
        </is>
      </c>
    </row>
    <row r="17" ht="15" customHeight="1" s="58">
      <c r="B17" s="83" t="inlineStr">
        <is>
          <t>Gross Margin</t>
        </is>
      </c>
      <c r="C17" s="84" t="n">
        <v>0.4</v>
      </c>
      <c r="D17" s="85" t="inlineStr">
        <is>
          <t>decimal</t>
        </is>
      </c>
    </row>
    <row r="18" ht="15" customHeight="1" s="58">
      <c r="B18" s="83" t="inlineStr">
        <is>
          <t>Distribution Cost %</t>
        </is>
      </c>
      <c r="C18" s="84" t="n">
        <v>0.2</v>
      </c>
      <c r="D18" s="85" t="inlineStr">
        <is>
          <t>decimal</t>
        </is>
      </c>
    </row>
    <row r="19" ht="15" customHeight="1" s="58">
      <c r="B19" s="83" t="inlineStr">
        <is>
          <t>Starting Ad Spend</t>
        </is>
      </c>
      <c r="C19" s="84" t="n">
        <v>3000</v>
      </c>
      <c r="D19" s="85" t="inlineStr">
        <is>
          <t>currency</t>
        </is>
      </c>
    </row>
    <row r="20" ht="15" customHeight="1" s="58">
      <c r="B20" s="83" t="inlineStr">
        <is>
          <t>Ad Spend Growth</t>
        </is>
      </c>
      <c r="C20" s="84" t="n">
        <v>0.12</v>
      </c>
      <c r="D20" s="85" t="inlineStr">
        <is>
          <t>decimal</t>
        </is>
      </c>
    </row>
    <row r="21" ht="15" customHeight="1" s="58">
      <c r="B21" s="83" t="inlineStr">
        <is>
          <t>Cost Per Click</t>
        </is>
      </c>
      <c r="C21" s="84" t="n">
        <v>2</v>
      </c>
      <c r="D21" s="85" t="inlineStr">
        <is>
          <t>currency</t>
        </is>
      </c>
    </row>
    <row r="23" ht="15" customHeight="1" s="58">
      <c r="B23" s="82" t="inlineStr">
        <is>
          <t>TRAFFIC</t>
        </is>
      </c>
    </row>
    <row r="24" ht="15" customHeight="1" s="58">
      <c r="B24" s="83" t="inlineStr">
        <is>
          <t>Organic Traffic</t>
        </is>
      </c>
      <c r="C24" s="86">
        <f>C8</f>
        <v/>
      </c>
      <c r="D24" s="86">
        <f>C24*(1+$C9)</f>
        <v/>
      </c>
      <c r="E24" s="86">
        <f>D24*(1+$C9)</f>
        <v/>
      </c>
      <c r="F24" s="86">
        <f>E24*(1+$C9)</f>
        <v/>
      </c>
      <c r="G24" s="86">
        <f>F24*(1+$C9)</f>
        <v/>
      </c>
      <c r="H24" s="86">
        <f>G24*(1+$C9)</f>
        <v/>
      </c>
      <c r="I24" s="86">
        <f>H24*(1+$C9)</f>
        <v/>
      </c>
      <c r="J24" s="86">
        <f>I24*(1+$C9)</f>
        <v/>
      </c>
      <c r="K24" s="86">
        <f>J24*(1+$C9)</f>
        <v/>
      </c>
      <c r="L24" s="86">
        <f>K24*(1+$C9)</f>
        <v/>
      </c>
      <c r="M24" s="86">
        <f>L24*(1+$C9)</f>
        <v/>
      </c>
      <c r="N24" s="86">
        <f>M24*(1+$C9)</f>
        <v/>
      </c>
    </row>
    <row r="25" ht="15" customHeight="1" s="58">
      <c r="B25" s="83" t="inlineStr">
        <is>
          <t>Paid Traffic</t>
        </is>
      </c>
      <c r="C25" s="86">
        <f>C10</f>
        <v/>
      </c>
      <c r="D25" s="86">
        <f>C25*(1+$C11)</f>
        <v/>
      </c>
      <c r="E25" s="86">
        <f>D25*(1+$C11)</f>
        <v/>
      </c>
      <c r="F25" s="86">
        <f>E25*(1+$C11)</f>
        <v/>
      </c>
      <c r="G25" s="86">
        <f>F25*(1+$C11)</f>
        <v/>
      </c>
      <c r="H25" s="86">
        <f>G25*(1+$C11)</f>
        <v/>
      </c>
      <c r="I25" s="86">
        <f>H25*(1+$C11)</f>
        <v/>
      </c>
      <c r="J25" s="86">
        <f>I25*(1+$C11)</f>
        <v/>
      </c>
      <c r="K25" s="86">
        <f>J25*(1+$C11)</f>
        <v/>
      </c>
      <c r="L25" s="86">
        <f>K25*(1+$C11)</f>
        <v/>
      </c>
      <c r="M25" s="86">
        <f>L25*(1+$C11)</f>
        <v/>
      </c>
      <c r="N25" s="86">
        <f>M25*(1+$C11)</f>
        <v/>
      </c>
    </row>
    <row r="26" ht="15" customHeight="1" s="58">
      <c r="B26" s="83" t="inlineStr">
        <is>
          <t>Direct/Referral Traffic</t>
        </is>
      </c>
      <c r="C26" s="86">
        <f>C24*0.25</f>
        <v/>
      </c>
      <c r="D26" s="86">
        <f>D24*0.25</f>
        <v/>
      </c>
      <c r="E26" s="86">
        <f>E24*0.25</f>
        <v/>
      </c>
      <c r="F26" s="86">
        <f>F24*0.25</f>
        <v/>
      </c>
      <c r="G26" s="86">
        <f>G24*0.25</f>
        <v/>
      </c>
      <c r="H26" s="86">
        <f>H24*0.25</f>
        <v/>
      </c>
      <c r="I26" s="86">
        <f>I24*0.25</f>
        <v/>
      </c>
      <c r="J26" s="86">
        <f>J24*0.25</f>
        <v/>
      </c>
      <c r="K26" s="86">
        <f>K24*0.25</f>
        <v/>
      </c>
      <c r="L26" s="86">
        <f>L24*0.25</f>
        <v/>
      </c>
      <c r="M26" s="86">
        <f>M24*0.25</f>
        <v/>
      </c>
      <c r="N26" s="86">
        <f>N24*0.25</f>
        <v/>
      </c>
    </row>
    <row r="27" ht="15" customHeight="1" s="58">
      <c r="B27" s="70" t="inlineStr">
        <is>
          <t>TOTAL TRAFFIC</t>
        </is>
      </c>
      <c r="C27" s="87">
        <f>C24+C25+C26</f>
        <v/>
      </c>
      <c r="D27" s="87">
        <f>D24+D25+D26</f>
        <v/>
      </c>
      <c r="E27" s="87">
        <f>E24+E25+E26</f>
        <v/>
      </c>
      <c r="F27" s="87">
        <f>F24+F25+F26</f>
        <v/>
      </c>
      <c r="G27" s="87">
        <f>G24+G25+G26</f>
        <v/>
      </c>
      <c r="H27" s="87">
        <f>H24+H25+H26</f>
        <v/>
      </c>
      <c r="I27" s="87">
        <f>I24+I25+I26</f>
        <v/>
      </c>
      <c r="J27" s="87">
        <f>J24+J25+J26</f>
        <v/>
      </c>
      <c r="K27" s="87">
        <f>K24+K25+K26</f>
        <v/>
      </c>
      <c r="L27" s="87">
        <f>L24+L25+L26</f>
        <v/>
      </c>
      <c r="M27" s="87">
        <f>M24+M25+M26</f>
        <v/>
      </c>
      <c r="N27" s="87">
        <f>N24+N25+N26</f>
        <v/>
      </c>
    </row>
    <row r="29" ht="15" customHeight="1" s="58">
      <c r="B29" s="82" t="inlineStr">
        <is>
          <t>CONVERSION</t>
        </is>
      </c>
    </row>
    <row r="30" ht="15" customHeight="1" s="58">
      <c r="B30" s="83" t="inlineStr">
        <is>
          <t>Conversion Rate</t>
        </is>
      </c>
      <c r="C30" s="88">
        <f>C12</f>
        <v/>
      </c>
      <c r="D30" s="88">
        <f>MIN(C30+$C13,$C14)</f>
        <v/>
      </c>
      <c r="E30" s="88">
        <f>MIN(D30+$C13,$C14)</f>
        <v/>
      </c>
      <c r="F30" s="88">
        <f>MIN(E30+$C13,$C14)</f>
        <v/>
      </c>
      <c r="G30" s="88">
        <f>MIN(F30+$C13,$C14)</f>
        <v/>
      </c>
      <c r="H30" s="88">
        <f>MIN(G30+$C13,$C14)</f>
        <v/>
      </c>
      <c r="I30" s="88">
        <f>MIN(H30+$C13,$C14)</f>
        <v/>
      </c>
      <c r="J30" s="88">
        <f>MIN(I30+$C13,$C14)</f>
        <v/>
      </c>
      <c r="K30" s="88">
        <f>MIN(J30+$C13,$C14)</f>
        <v/>
      </c>
      <c r="L30" s="88">
        <f>MIN(K30+$C13,$C14)</f>
        <v/>
      </c>
      <c r="M30" s="88">
        <f>MIN(L30+$C13,$C14)</f>
        <v/>
      </c>
      <c r="N30" s="88">
        <f>MIN(M30+$C13,$C14)</f>
        <v/>
      </c>
    </row>
    <row r="31" ht="15" customHeight="1" s="58">
      <c r="B31" s="83" t="inlineStr">
        <is>
          <t>Orders</t>
        </is>
      </c>
      <c r="C31" s="86">
        <f>C27*C30</f>
        <v/>
      </c>
      <c r="D31" s="86">
        <f>D27*D30</f>
        <v/>
      </c>
      <c r="E31" s="86">
        <f>E27*E30</f>
        <v/>
      </c>
      <c r="F31" s="86">
        <f>F27*F30</f>
        <v/>
      </c>
      <c r="G31" s="86">
        <f>G27*G30</f>
        <v/>
      </c>
      <c r="H31" s="86">
        <f>H27*H30</f>
        <v/>
      </c>
      <c r="I31" s="86">
        <f>I27*I30</f>
        <v/>
      </c>
      <c r="J31" s="86">
        <f>J27*J30</f>
        <v/>
      </c>
      <c r="K31" s="86">
        <f>K27*K30</f>
        <v/>
      </c>
      <c r="L31" s="86">
        <f>L27*L30</f>
        <v/>
      </c>
      <c r="M31" s="86">
        <f>M27*M30</f>
        <v/>
      </c>
      <c r="N31" s="86">
        <f>N27*N30</f>
        <v/>
      </c>
    </row>
    <row r="33" ht="15" customHeight="1" s="58">
      <c r="B33" s="82" t="inlineStr">
        <is>
          <t>REVENUE</t>
        </is>
      </c>
    </row>
    <row r="34" ht="15" customHeight="1" s="58">
      <c r="B34" s="83" t="inlineStr">
        <is>
          <t>Average Order Value (£)</t>
        </is>
      </c>
      <c r="C34" s="89">
        <f>C15</f>
        <v/>
      </c>
      <c r="D34" s="89">
        <f>C34*(1+$C16)</f>
        <v/>
      </c>
      <c r="E34" s="89">
        <f>D34*(1+$C16)</f>
        <v/>
      </c>
      <c r="F34" s="89">
        <f>E34*(1+$C16)</f>
        <v/>
      </c>
      <c r="G34" s="89">
        <f>F34*(1+$C16)</f>
        <v/>
      </c>
      <c r="H34" s="89">
        <f>G34*(1+$C16)</f>
        <v/>
      </c>
      <c r="I34" s="89">
        <f>H34*(1+$C16)</f>
        <v/>
      </c>
      <c r="J34" s="89">
        <f>I34*(1+$C16)</f>
        <v/>
      </c>
      <c r="K34" s="89">
        <f>J34*(1+$C16)</f>
        <v/>
      </c>
      <c r="L34" s="89">
        <f>K34*(1+$C16)</f>
        <v/>
      </c>
      <c r="M34" s="89">
        <f>L34*(1+$C16)</f>
        <v/>
      </c>
      <c r="N34" s="89">
        <f>M34*(1+$C16)</f>
        <v/>
      </c>
    </row>
    <row r="35" ht="15" customHeight="1" s="58">
      <c r="B35" s="70" t="inlineStr">
        <is>
          <t>REVENUE (£)</t>
        </is>
      </c>
      <c r="C35" s="90">
        <f>C31*C34</f>
        <v/>
      </c>
      <c r="D35" s="90">
        <f>D31*D34</f>
        <v/>
      </c>
      <c r="E35" s="90">
        <f>E31*E34</f>
        <v/>
      </c>
      <c r="F35" s="90">
        <f>F31*F34</f>
        <v/>
      </c>
      <c r="G35" s="90">
        <f>G31*G34</f>
        <v/>
      </c>
      <c r="H35" s="90">
        <f>H31*H34</f>
        <v/>
      </c>
      <c r="I35" s="90">
        <f>I31*I34</f>
        <v/>
      </c>
      <c r="J35" s="90">
        <f>J31*J34</f>
        <v/>
      </c>
      <c r="K35" s="90">
        <f>K31*K34</f>
        <v/>
      </c>
      <c r="L35" s="90">
        <f>L31*L34</f>
        <v/>
      </c>
      <c r="M35" s="90">
        <f>M31*M34</f>
        <v/>
      </c>
      <c r="N35" s="90">
        <f>N31*N34</f>
        <v/>
      </c>
    </row>
    <row r="37" ht="15" customHeight="1" s="58">
      <c r="B37" s="82" t="inlineStr">
        <is>
          <t>COSTS</t>
        </is>
      </c>
    </row>
    <row r="38" ht="15" customHeight="1" s="58">
      <c r="B38" s="83" t="inlineStr">
        <is>
          <t>Cost of Goods Sold (£)</t>
        </is>
      </c>
      <c r="C38" s="91">
        <f>-C35*(1-$C17)</f>
        <v/>
      </c>
      <c r="D38" s="91">
        <f>-D35*(1-$C17)</f>
        <v/>
      </c>
      <c r="E38" s="91">
        <f>-E35*(1-$C17)</f>
        <v/>
      </c>
      <c r="F38" s="91">
        <f>-F35*(1-$C17)</f>
        <v/>
      </c>
      <c r="G38" s="91">
        <f>-G35*(1-$C17)</f>
        <v/>
      </c>
      <c r="H38" s="91">
        <f>-H35*(1-$C17)</f>
        <v/>
      </c>
      <c r="I38" s="91">
        <f>-I35*(1-$C17)</f>
        <v/>
      </c>
      <c r="J38" s="91">
        <f>-J35*(1-$C17)</f>
        <v/>
      </c>
      <c r="K38" s="91">
        <f>-K35*(1-$C17)</f>
        <v/>
      </c>
      <c r="L38" s="91">
        <f>-L35*(1-$C17)</f>
        <v/>
      </c>
      <c r="M38" s="91">
        <f>-M35*(1-$C17)</f>
        <v/>
      </c>
      <c r="N38" s="91">
        <f>-N35*(1-$C17)</f>
        <v/>
      </c>
    </row>
    <row r="39" ht="15" customHeight="1" s="58">
      <c r="B39" s="83" t="inlineStr">
        <is>
          <t>Distribution Costs (£)</t>
        </is>
      </c>
      <c r="C39" s="91">
        <f>-C35*$C18</f>
        <v/>
      </c>
      <c r="D39" s="91">
        <f>-D35*$C18</f>
        <v/>
      </c>
      <c r="E39" s="91">
        <f>-E35*$C18</f>
        <v/>
      </c>
      <c r="F39" s="91">
        <f>-F35*$C18</f>
        <v/>
      </c>
      <c r="G39" s="91">
        <f>-G35*$C18</f>
        <v/>
      </c>
      <c r="H39" s="91">
        <f>-H35*$C18</f>
        <v/>
      </c>
      <c r="I39" s="91">
        <f>-I35*$C18</f>
        <v/>
      </c>
      <c r="J39" s="91">
        <f>-J35*$C18</f>
        <v/>
      </c>
      <c r="K39" s="91">
        <f>-K35*$C18</f>
        <v/>
      </c>
      <c r="L39" s="91">
        <f>-L35*$C18</f>
        <v/>
      </c>
      <c r="M39" s="91">
        <f>-M35*$C18</f>
        <v/>
      </c>
      <c r="N39" s="91">
        <f>-N35*$C18</f>
        <v/>
      </c>
    </row>
    <row r="40" ht="15" customHeight="1" s="58">
      <c r="B40" s="70" t="inlineStr">
        <is>
          <t>GROSS PROFIT (£)</t>
        </is>
      </c>
      <c r="C40" s="92">
        <f>C35+C38+C39</f>
        <v/>
      </c>
      <c r="D40" s="92">
        <f>D35+D38+D39</f>
        <v/>
      </c>
      <c r="E40" s="92">
        <f>E35+E38+E39</f>
        <v/>
      </c>
      <c r="F40" s="92">
        <f>F35+F38+F39</f>
        <v/>
      </c>
      <c r="G40" s="92">
        <f>G35+G38+G39</f>
        <v/>
      </c>
      <c r="H40" s="92">
        <f>H35+H38+H39</f>
        <v/>
      </c>
      <c r="I40" s="92">
        <f>I35+I38+I39</f>
        <v/>
      </c>
      <c r="J40" s="92">
        <f>J35+J38+J39</f>
        <v/>
      </c>
      <c r="K40" s="92">
        <f>K35+K38+K39</f>
        <v/>
      </c>
      <c r="L40" s="92">
        <f>L35+L38+L39</f>
        <v/>
      </c>
      <c r="M40" s="92">
        <f>M35+M38+M39</f>
        <v/>
      </c>
      <c r="N40" s="92">
        <f>N35+N38+N39</f>
        <v/>
      </c>
    </row>
    <row r="41" ht="15" customHeight="1" s="58">
      <c r="B41" s="83" t="inlineStr">
        <is>
          <t>Gross Margin %</t>
        </is>
      </c>
      <c r="C41" s="93">
        <f>IFERROR(C40/C35,0)</f>
        <v/>
      </c>
      <c r="D41" s="93">
        <f>IFERROR(D40/D35,0)</f>
        <v/>
      </c>
      <c r="E41" s="93">
        <f>IFERROR(E40/E35,0)</f>
        <v/>
      </c>
      <c r="F41" s="93">
        <f>IFERROR(F40/F35,0)</f>
        <v/>
      </c>
      <c r="G41" s="93">
        <f>IFERROR(G40/G35,0)</f>
        <v/>
      </c>
      <c r="H41" s="93">
        <f>IFERROR(H40/H35,0)</f>
        <v/>
      </c>
      <c r="I41" s="93">
        <f>IFERROR(I40/I35,0)</f>
        <v/>
      </c>
      <c r="J41" s="93">
        <f>IFERROR(J40/J35,0)</f>
        <v/>
      </c>
      <c r="K41" s="93">
        <f>IFERROR(K40/K35,0)</f>
        <v/>
      </c>
      <c r="L41" s="93">
        <f>IFERROR(L40/L35,0)</f>
        <v/>
      </c>
      <c r="M41" s="93">
        <f>IFERROR(M40/M35,0)</f>
        <v/>
      </c>
      <c r="N41" s="93">
        <f>IFERROR(N40/N35,0)</f>
        <v/>
      </c>
    </row>
    <row r="43" ht="15" customHeight="1" s="58">
      <c r="B43" s="82" t="inlineStr">
        <is>
          <t>MARKETING COSTS</t>
        </is>
      </c>
    </row>
    <row r="44" ht="15" customHeight="1" s="58">
      <c r="B44" s="83" t="inlineStr">
        <is>
          <t>Paid Ad Spend (£)</t>
        </is>
      </c>
      <c r="C44" s="91">
        <f>-C19</f>
        <v/>
      </c>
      <c r="D44" s="91">
        <f>C44*(1+$C20)</f>
        <v/>
      </c>
      <c r="E44" s="91">
        <f>D44*(1+$C20)</f>
        <v/>
      </c>
      <c r="F44" s="91">
        <f>E44*(1+$C20)</f>
        <v/>
      </c>
      <c r="G44" s="91">
        <f>F44*(1+$C20)</f>
        <v/>
      </c>
      <c r="H44" s="91">
        <f>G44*(1+$C20)</f>
        <v/>
      </c>
      <c r="I44" s="91">
        <f>H44*(1+$C20)</f>
        <v/>
      </c>
      <c r="J44" s="91">
        <f>I44*(1+$C20)</f>
        <v/>
      </c>
      <c r="K44" s="91">
        <f>J44*(1+$C20)</f>
        <v/>
      </c>
      <c r="L44" s="91">
        <f>K44*(1+$C20)</f>
        <v/>
      </c>
      <c r="M44" s="91">
        <f>L44*(1+$C20)</f>
        <v/>
      </c>
      <c r="N44" s="91">
        <f>M44*(1+$C20)</f>
        <v/>
      </c>
    </row>
    <row r="45" ht="15" customHeight="1" s="58">
      <c r="B45" s="83" t="inlineStr">
        <is>
          <t>SEO &amp; Content (£)</t>
        </is>
      </c>
      <c r="C45" s="91" t="n">
        <v>-1500</v>
      </c>
      <c r="D45" s="91" t="n">
        <v>-1500</v>
      </c>
      <c r="E45" s="91" t="n">
        <v>-1500</v>
      </c>
      <c r="F45" s="91" t="n">
        <v>-1500</v>
      </c>
      <c r="G45" s="91" t="n">
        <v>-1500</v>
      </c>
      <c r="H45" s="91" t="n">
        <v>-1500</v>
      </c>
      <c r="I45" s="91" t="n">
        <v>-1500</v>
      </c>
      <c r="J45" s="91" t="n">
        <v>-1500</v>
      </c>
      <c r="K45" s="91" t="n">
        <v>-1500</v>
      </c>
      <c r="L45" s="91" t="n">
        <v>-1500</v>
      </c>
      <c r="M45" s="91" t="n">
        <v>-1500</v>
      </c>
      <c r="N45" s="91" t="n">
        <v>-1500</v>
      </c>
    </row>
    <row r="46" ht="15" customHeight="1" s="58">
      <c r="B46" s="83" t="inlineStr">
        <is>
          <t>Email Marketing (£)</t>
        </is>
      </c>
      <c r="C46" s="91" t="n">
        <v>-500</v>
      </c>
      <c r="D46" s="91" t="n">
        <v>-500</v>
      </c>
      <c r="E46" s="91" t="n">
        <v>-500</v>
      </c>
      <c r="F46" s="91" t="n">
        <v>-500</v>
      </c>
      <c r="G46" s="91" t="n">
        <v>-500</v>
      </c>
      <c r="H46" s="91" t="n">
        <v>-500</v>
      </c>
      <c r="I46" s="91" t="n">
        <v>-500</v>
      </c>
      <c r="J46" s="91" t="n">
        <v>-500</v>
      </c>
      <c r="K46" s="91" t="n">
        <v>-500</v>
      </c>
      <c r="L46" s="91" t="n">
        <v>-500</v>
      </c>
      <c r="M46" s="91" t="n">
        <v>-500</v>
      </c>
      <c r="N46" s="91" t="n">
        <v>-500</v>
      </c>
    </row>
    <row r="47" ht="15" customHeight="1" s="58">
      <c r="B47" s="70" t="inlineStr">
        <is>
          <t>TOTAL MARKETING (£)</t>
        </is>
      </c>
      <c r="C47" s="94">
        <f>C44+C45+C46</f>
        <v/>
      </c>
      <c r="D47" s="94">
        <f>D44+D45+D46</f>
        <v/>
      </c>
      <c r="E47" s="94">
        <f>E44+E45+E46</f>
        <v/>
      </c>
      <c r="F47" s="94">
        <f>F44+F45+F46</f>
        <v/>
      </c>
      <c r="G47" s="94">
        <f>G44+G45+G46</f>
        <v/>
      </c>
      <c r="H47" s="94">
        <f>H44+H45+H46</f>
        <v/>
      </c>
      <c r="I47" s="94">
        <f>I44+I45+I46</f>
        <v/>
      </c>
      <c r="J47" s="94">
        <f>J44+J45+J46</f>
        <v/>
      </c>
      <c r="K47" s="94">
        <f>K44+K45+K46</f>
        <v/>
      </c>
      <c r="L47" s="94">
        <f>L44+L45+L46</f>
        <v/>
      </c>
      <c r="M47" s="94">
        <f>M44+M45+M46</f>
        <v/>
      </c>
      <c r="N47" s="94">
        <f>N44+N45+N46</f>
        <v/>
      </c>
    </row>
    <row r="49" ht="15" customHeight="1" s="58">
      <c r="B49" s="82" t="inlineStr">
        <is>
          <t>OPERATIONAL COSTS</t>
        </is>
      </c>
    </row>
    <row r="50" ht="15" customHeight="1" s="58">
      <c r="B50" s="83" t="inlineStr">
        <is>
          <t>Platform &amp; Hosting (£)</t>
        </is>
      </c>
      <c r="C50" s="91" t="n">
        <v>-180</v>
      </c>
      <c r="D50" s="91" t="n">
        <v>-180</v>
      </c>
      <c r="E50" s="91" t="n">
        <v>-180</v>
      </c>
      <c r="F50" s="91" t="n">
        <v>-180</v>
      </c>
      <c r="G50" s="91" t="n">
        <v>-180</v>
      </c>
      <c r="H50" s="91" t="n">
        <v>-180</v>
      </c>
      <c r="I50" s="91" t="n">
        <v>-180</v>
      </c>
      <c r="J50" s="91" t="n">
        <v>-180</v>
      </c>
      <c r="K50" s="91" t="n">
        <v>-180</v>
      </c>
      <c r="L50" s="91" t="n">
        <v>-180</v>
      </c>
      <c r="M50" s="91" t="n">
        <v>-180</v>
      </c>
      <c r="N50" s="91" t="n">
        <v>-180</v>
      </c>
    </row>
    <row r="51" ht="15" customHeight="1" s="58">
      <c r="B51" s="83" t="inlineStr">
        <is>
          <t>Payment Processing (£)</t>
        </is>
      </c>
      <c r="C51" s="91">
        <f>-C35*0.029</f>
        <v/>
      </c>
      <c r="D51" s="91">
        <f>-D35*0.029</f>
        <v/>
      </c>
      <c r="E51" s="91">
        <f>-E35*0.029</f>
        <v/>
      </c>
      <c r="F51" s="91">
        <f>-F35*0.029</f>
        <v/>
      </c>
      <c r="G51" s="91">
        <f>-G35*0.029</f>
        <v/>
      </c>
      <c r="H51" s="91">
        <f>-H35*0.029</f>
        <v/>
      </c>
      <c r="I51" s="91">
        <f>-I35*0.029</f>
        <v/>
      </c>
      <c r="J51" s="91">
        <f>-J35*0.029</f>
        <v/>
      </c>
      <c r="K51" s="91">
        <f>-K35*0.029</f>
        <v/>
      </c>
      <c r="L51" s="91">
        <f>-L35*0.029</f>
        <v/>
      </c>
      <c r="M51" s="91">
        <f>-M35*0.029</f>
        <v/>
      </c>
      <c r="N51" s="91">
        <f>-N35*0.029</f>
        <v/>
      </c>
    </row>
    <row r="52" ht="15" customHeight="1" s="58">
      <c r="B52" s="83" t="inlineStr">
        <is>
          <t>Customer Service (£)</t>
        </is>
      </c>
      <c r="C52" s="91" t="n">
        <v>-1500</v>
      </c>
      <c r="D52" s="91" t="n">
        <v>-1500</v>
      </c>
      <c r="E52" s="91" t="n">
        <v>-1500</v>
      </c>
      <c r="F52" s="91" t="n">
        <v>-1500</v>
      </c>
      <c r="G52" s="91" t="n">
        <v>-1500</v>
      </c>
      <c r="H52" s="91" t="n">
        <v>-1500</v>
      </c>
      <c r="I52" s="91" t="n">
        <v>-1500</v>
      </c>
      <c r="J52" s="91" t="n">
        <v>-1500</v>
      </c>
      <c r="K52" s="91" t="n">
        <v>-1500</v>
      </c>
      <c r="L52" s="91" t="n">
        <v>-1500</v>
      </c>
      <c r="M52" s="91" t="n">
        <v>-1500</v>
      </c>
      <c r="N52" s="91" t="n">
        <v>-1500</v>
      </c>
    </row>
    <row r="53" ht="15" customHeight="1" s="58">
      <c r="B53" s="83" t="inlineStr">
        <is>
          <t>Software &amp; Tools (£)</t>
        </is>
      </c>
      <c r="C53" s="91" t="n">
        <v>-350</v>
      </c>
      <c r="D53" s="91" t="n">
        <v>-350</v>
      </c>
      <c r="E53" s="91" t="n">
        <v>-350</v>
      </c>
      <c r="F53" s="91" t="n">
        <v>-350</v>
      </c>
      <c r="G53" s="91" t="n">
        <v>-350</v>
      </c>
      <c r="H53" s="91" t="n">
        <v>-350</v>
      </c>
      <c r="I53" s="91" t="n">
        <v>-350</v>
      </c>
      <c r="J53" s="91" t="n">
        <v>-350</v>
      </c>
      <c r="K53" s="91" t="n">
        <v>-350</v>
      </c>
      <c r="L53" s="91" t="n">
        <v>-350</v>
      </c>
      <c r="M53" s="91" t="n">
        <v>-350</v>
      </c>
      <c r="N53" s="91" t="n">
        <v>-350</v>
      </c>
    </row>
    <row r="54" ht="15" customHeight="1" s="58">
      <c r="B54" s="70" t="inlineStr">
        <is>
          <t>TOTAL OPERATIONAL (£)</t>
        </is>
      </c>
      <c r="C54" s="94">
        <f>C50+C51+C52+C53</f>
        <v/>
      </c>
      <c r="D54" s="94">
        <f>D50+D51+D52+D53</f>
        <v/>
      </c>
      <c r="E54" s="94">
        <f>E50+E51+E52+E53</f>
        <v/>
      </c>
      <c r="F54" s="94">
        <f>F50+F51+F52+F53</f>
        <v/>
      </c>
      <c r="G54" s="94">
        <f>G50+G51+G52+G53</f>
        <v/>
      </c>
      <c r="H54" s="94">
        <f>H50+H51+H52+H53</f>
        <v/>
      </c>
      <c r="I54" s="94">
        <f>I50+I51+I52+I53</f>
        <v/>
      </c>
      <c r="J54" s="94">
        <f>J50+J51+J52+J53</f>
        <v/>
      </c>
      <c r="K54" s="94">
        <f>K50+K51+K52+K53</f>
        <v/>
      </c>
      <c r="L54" s="94">
        <f>L50+L51+L52+L53</f>
        <v/>
      </c>
      <c r="M54" s="94">
        <f>M50+M51+M52+M53</f>
        <v/>
      </c>
      <c r="N54" s="94">
        <f>N50+N51+N52+N53</f>
        <v/>
      </c>
    </row>
    <row r="56" ht="15" customHeight="1" s="58">
      <c r="B56" s="82" t="inlineStr">
        <is>
          <t>PROFITABILITY</t>
        </is>
      </c>
    </row>
    <row r="57" ht="15" customHeight="1" s="58">
      <c r="B57" s="70" t="inlineStr">
        <is>
          <t>CONTRIBUTION (£)</t>
        </is>
      </c>
      <c r="C57" s="95">
        <f>C40+C47+C54</f>
        <v/>
      </c>
      <c r="D57" s="95">
        <f>D40+D47+D54</f>
        <v/>
      </c>
      <c r="E57" s="95">
        <f>E40+E47+E54</f>
        <v/>
      </c>
      <c r="F57" s="95">
        <f>F40+F47+F54</f>
        <v/>
      </c>
      <c r="G57" s="95">
        <f>G40+G47+G54</f>
        <v/>
      </c>
      <c r="H57" s="95">
        <f>H40+H47+H54</f>
        <v/>
      </c>
      <c r="I57" s="95">
        <f>I40+I47+I54</f>
        <v/>
      </c>
      <c r="J57" s="95">
        <f>J40+J47+J54</f>
        <v/>
      </c>
      <c r="K57" s="95">
        <f>K40+K47+K54</f>
        <v/>
      </c>
      <c r="L57" s="95">
        <f>L40+L47+L54</f>
        <v/>
      </c>
      <c r="M57" s="95">
        <f>M40+M47+M54</f>
        <v/>
      </c>
      <c r="N57" s="95">
        <f>N40+N47+N54</f>
        <v/>
      </c>
    </row>
    <row r="58" ht="15" customHeight="1" s="58">
      <c r="B58" s="83" t="inlineStr">
        <is>
          <t>Cumulative Contribution (£)</t>
        </is>
      </c>
      <c r="C58" s="91">
        <f>C57</f>
        <v/>
      </c>
      <c r="D58" s="91">
        <f>C58+D57</f>
        <v/>
      </c>
      <c r="E58" s="91">
        <f>D58+E57</f>
        <v/>
      </c>
      <c r="F58" s="91">
        <f>E58+F57</f>
        <v/>
      </c>
      <c r="G58" s="91">
        <f>F58+G57</f>
        <v/>
      </c>
      <c r="H58" s="91">
        <f>G58+H57</f>
        <v/>
      </c>
      <c r="I58" s="91">
        <f>H58+I57</f>
        <v/>
      </c>
      <c r="J58" s="91">
        <f>I58+J57</f>
        <v/>
      </c>
      <c r="K58" s="91">
        <f>J58+K57</f>
        <v/>
      </c>
      <c r="L58" s="91">
        <f>K58+L57</f>
        <v/>
      </c>
      <c r="M58" s="91">
        <f>L58+M57</f>
        <v/>
      </c>
      <c r="N58" s="91">
        <f>M58+N57</f>
        <v/>
      </c>
    </row>
    <row r="60" ht="15" customHeight="1" s="58">
      <c r="B60" s="82" t="inlineStr">
        <is>
          <t>KEY PERFORMANCE INDICATORS</t>
        </is>
      </c>
    </row>
    <row r="61" ht="15" customHeight="1" s="58">
      <c r="B61" s="83" t="inlineStr">
        <is>
          <t>ROAS (Return on Ad Spend)</t>
        </is>
      </c>
      <c r="C61" s="96">
        <f>IFERROR(C35/ABS(C44),0)</f>
        <v/>
      </c>
      <c r="D61" s="96">
        <f>IFERROR(D35/ABS(D44),0)</f>
        <v/>
      </c>
      <c r="E61" s="96">
        <f>IFERROR(E35/ABS(E44),0)</f>
        <v/>
      </c>
      <c r="F61" s="96">
        <f>IFERROR(F35/ABS(F44),0)</f>
        <v/>
      </c>
      <c r="G61" s="96">
        <f>IFERROR(G35/ABS(G44),0)</f>
        <v/>
      </c>
      <c r="H61" s="96">
        <f>IFERROR(H35/ABS(H44),0)</f>
        <v/>
      </c>
      <c r="I61" s="96">
        <f>IFERROR(I35/ABS(I44),0)</f>
        <v/>
      </c>
      <c r="J61" s="96">
        <f>IFERROR(J35/ABS(J44),0)</f>
        <v/>
      </c>
      <c r="K61" s="96">
        <f>IFERROR(K35/ABS(K44),0)</f>
        <v/>
      </c>
      <c r="L61" s="96">
        <f>IFERROR(L35/ABS(L44),0)</f>
        <v/>
      </c>
      <c r="M61" s="96">
        <f>IFERROR(M35/ABS(M44),0)</f>
        <v/>
      </c>
      <c r="N61" s="96">
        <f>IFERROR(N35/ABS(N44),0)</f>
        <v/>
      </c>
    </row>
    <row r="62" ht="15" customHeight="1" s="58">
      <c r="B62" s="83" t="inlineStr">
        <is>
          <t>CAC (£) - Paid Only</t>
        </is>
      </c>
      <c r="C62" s="89">
        <f>IFERROR(ABS(C44)/C31,0)</f>
        <v/>
      </c>
      <c r="D62" s="89">
        <f>IFERROR(ABS(D44)/D31,0)</f>
        <v/>
      </c>
      <c r="E62" s="89">
        <f>IFERROR(ABS(E44)/E31,0)</f>
        <v/>
      </c>
      <c r="F62" s="89">
        <f>IFERROR(ABS(F44)/F31,0)</f>
        <v/>
      </c>
      <c r="G62" s="89">
        <f>IFERROR(ABS(G44)/G31,0)</f>
        <v/>
      </c>
      <c r="H62" s="89">
        <f>IFERROR(ABS(H44)/H31,0)</f>
        <v/>
      </c>
      <c r="I62" s="89">
        <f>IFERROR(ABS(I44)/I31,0)</f>
        <v/>
      </c>
      <c r="J62" s="89">
        <f>IFERROR(ABS(J44)/J31,0)</f>
        <v/>
      </c>
      <c r="K62" s="89">
        <f>IFERROR(ABS(K44)/K31,0)</f>
        <v/>
      </c>
      <c r="L62" s="89">
        <f>IFERROR(ABS(L44)/L31,0)</f>
        <v/>
      </c>
      <c r="M62" s="89">
        <f>IFERROR(ABS(M44)/M31,0)</f>
        <v/>
      </c>
      <c r="N62" s="89">
        <f>IFERROR(ABS(N44)/N31,0)</f>
        <v/>
      </c>
    </row>
    <row r="63" ht="15" customHeight="1" s="58">
      <c r="B63" s="83" t="inlineStr">
        <is>
          <t>Revenue per Visitor (£)</t>
        </is>
      </c>
      <c r="C63" s="89">
        <f>IFERROR(C35/C27,0)</f>
        <v/>
      </c>
      <c r="D63" s="89">
        <f>IFERROR(D35/D27,0)</f>
        <v/>
      </c>
      <c r="E63" s="89">
        <f>IFERROR(E35/E27,0)</f>
        <v/>
      </c>
      <c r="F63" s="89">
        <f>IFERROR(F35/F27,0)</f>
        <v/>
      </c>
      <c r="G63" s="89">
        <f>IFERROR(G35/G27,0)</f>
        <v/>
      </c>
      <c r="H63" s="89">
        <f>IFERROR(H35/H27,0)</f>
        <v/>
      </c>
      <c r="I63" s="89">
        <f>IFERROR(I35/I27,0)</f>
        <v/>
      </c>
      <c r="J63" s="89">
        <f>IFERROR(J35/J27,0)</f>
        <v/>
      </c>
      <c r="K63" s="89">
        <f>IFERROR(K35/K27,0)</f>
        <v/>
      </c>
      <c r="L63" s="89">
        <f>IFERROR(L35/L27,0)</f>
        <v/>
      </c>
      <c r="M63" s="89">
        <f>IFERROR(M35/M27,0)</f>
        <v/>
      </c>
      <c r="N63" s="89">
        <f>IFERROR(N35/N27,0)</f>
        <v/>
      </c>
    </row>
  </sheetData>
  <mergeCells count="1">
    <mergeCell ref="B2:N2"/>
  </mergeCells>
  <conditionalFormatting sqref="C35:N35">
    <cfRule type="dataBar" priority="2">
      <dataBar minLength="10" maxLength="90" showValue="1">
        <cfvo type="min" val="0"/>
        <cfvo type="max" val="0"/>
        <color rgb="FF4A90D9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N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7" min="1" max="1"/>
    <col width="28" customWidth="1" style="57" min="2" max="2"/>
    <col width="14" customWidth="1" style="57" min="3" max="14"/>
    <col width="35" customWidth="1" style="57" min="15" max="15"/>
  </cols>
  <sheetData>
    <row r="2" ht="30" customHeight="1" s="58">
      <c r="B2" s="80" t="inlineStr">
        <is>
          <t>Epha.com - 12 MONTH PROJECTION</t>
        </is>
      </c>
    </row>
    <row r="3" ht="15" customHeight="1" s="58">
      <c r="B3" s="73" t="inlineStr">
        <is>
          <t>Market: Global Premium | Status: Beta | Currency: GBP (£)</t>
        </is>
      </c>
    </row>
    <row r="5" ht="15" customHeight="1" s="58">
      <c r="B5" s="81" t="inlineStr">
        <is>
          <t>METRIC</t>
        </is>
      </c>
      <c r="C5" s="75" t="inlineStr">
        <is>
          <t>M1</t>
        </is>
      </c>
      <c r="D5" s="75" t="inlineStr">
        <is>
          <t>M2</t>
        </is>
      </c>
      <c r="E5" s="75" t="inlineStr">
        <is>
          <t>M3</t>
        </is>
      </c>
      <c r="F5" s="75" t="inlineStr">
        <is>
          <t>M4</t>
        </is>
      </c>
      <c r="G5" s="75" t="inlineStr">
        <is>
          <t>M5</t>
        </is>
      </c>
      <c r="H5" s="75" t="inlineStr">
        <is>
          <t>M6</t>
        </is>
      </c>
      <c r="I5" s="75" t="inlineStr">
        <is>
          <t>M7</t>
        </is>
      </c>
      <c r="J5" s="75" t="inlineStr">
        <is>
          <t>M8</t>
        </is>
      </c>
      <c r="K5" s="75" t="inlineStr">
        <is>
          <t>M9</t>
        </is>
      </c>
      <c r="L5" s="75" t="inlineStr">
        <is>
          <t>M10</t>
        </is>
      </c>
      <c r="M5" s="75" t="inlineStr">
        <is>
          <t>M11</t>
        </is>
      </c>
      <c r="N5" s="75" t="inlineStr">
        <is>
          <t>M12</t>
        </is>
      </c>
    </row>
    <row r="7" ht="15" customHeight="1" s="58">
      <c r="B7" s="82" t="inlineStr">
        <is>
          <t>KEY ASSUMPTIONS (Editable)</t>
        </is>
      </c>
    </row>
    <row r="8" ht="15" customHeight="1" s="58">
      <c r="B8" s="83" t="inlineStr">
        <is>
          <t>Starting Organic Traffic</t>
        </is>
      </c>
      <c r="C8" s="84" t="n">
        <v>150</v>
      </c>
      <c r="D8" s="85" t="inlineStr">
        <is>
          <t>visitors</t>
        </is>
      </c>
    </row>
    <row r="9" ht="15" customHeight="1" s="58">
      <c r="B9" s="83" t="inlineStr">
        <is>
          <t>Organic Growth Rate</t>
        </is>
      </c>
      <c r="C9" s="84" t="n">
        <v>0.2</v>
      </c>
      <c r="D9" s="85" t="inlineStr">
        <is>
          <t>decimal</t>
        </is>
      </c>
    </row>
    <row r="10" ht="15" customHeight="1" s="58">
      <c r="B10" s="83" t="inlineStr">
        <is>
          <t>Starting Paid Traffic</t>
        </is>
      </c>
      <c r="C10" s="84" t="n">
        <v>600</v>
      </c>
      <c r="D10" s="85" t="inlineStr">
        <is>
          <t>visitors</t>
        </is>
      </c>
    </row>
    <row r="11" ht="15" customHeight="1" s="58">
      <c r="B11" s="83" t="inlineStr">
        <is>
          <t>Paid Growth Rate</t>
        </is>
      </c>
      <c r="C11" s="84" t="n">
        <v>0.1</v>
      </c>
      <c r="D11" s="85" t="inlineStr">
        <is>
          <t>decimal</t>
        </is>
      </c>
    </row>
    <row r="12" ht="15" customHeight="1" s="58">
      <c r="B12" s="83" t="inlineStr">
        <is>
          <t>Starting Conversion Rate</t>
        </is>
      </c>
      <c r="C12" s="84" t="n">
        <v>0.018</v>
      </c>
      <c r="D12" s="85" t="inlineStr">
        <is>
          <t>decimal</t>
        </is>
      </c>
    </row>
    <row r="13" ht="15" customHeight="1" s="58">
      <c r="B13" s="83" t="inlineStr">
        <is>
          <t>Conv. Rate Improvement</t>
        </is>
      </c>
      <c r="C13" s="84" t="n">
        <v>0.0015</v>
      </c>
      <c r="D13" s="85" t="inlineStr">
        <is>
          <t>decimal</t>
        </is>
      </c>
    </row>
    <row r="14" ht="15" customHeight="1" s="58">
      <c r="B14" s="83" t="inlineStr">
        <is>
          <t>Max Conversion Rate</t>
        </is>
      </c>
      <c r="C14" s="84" t="n">
        <v>0.032</v>
      </c>
      <c r="D14" s="85" t="inlineStr">
        <is>
          <t>decimal</t>
        </is>
      </c>
    </row>
    <row r="15" ht="15" customHeight="1" s="58">
      <c r="B15" s="83" t="inlineStr">
        <is>
          <t>Average Order Value</t>
        </is>
      </c>
      <c r="C15" s="84" t="n">
        <v>120</v>
      </c>
      <c r="D15" s="85" t="inlineStr">
        <is>
          <t>currency</t>
        </is>
      </c>
    </row>
    <row r="16" ht="15" customHeight="1" s="58">
      <c r="B16" s="83" t="inlineStr">
        <is>
          <t>AOV Growth Rate</t>
        </is>
      </c>
      <c r="C16" s="84" t="n">
        <v>0.01</v>
      </c>
      <c r="D16" s="85" t="inlineStr">
        <is>
          <t>decimal</t>
        </is>
      </c>
    </row>
    <row r="17" ht="15" customHeight="1" s="58">
      <c r="B17" s="83" t="inlineStr">
        <is>
          <t>Gross Margin</t>
        </is>
      </c>
      <c r="C17" s="84" t="n">
        <v>0.5</v>
      </c>
      <c r="D17" s="85" t="inlineStr">
        <is>
          <t>decimal</t>
        </is>
      </c>
    </row>
    <row r="18" ht="15" customHeight="1" s="58">
      <c r="B18" s="83" t="inlineStr">
        <is>
          <t>Distribution Cost %</t>
        </is>
      </c>
      <c r="C18" s="84" t="n">
        <v>0.18</v>
      </c>
      <c r="D18" s="85" t="inlineStr">
        <is>
          <t>decimal</t>
        </is>
      </c>
    </row>
    <row r="19" ht="15" customHeight="1" s="58">
      <c r="B19" s="83" t="inlineStr">
        <is>
          <t>Starting Ad Spend</t>
        </is>
      </c>
      <c r="C19" s="84" t="n">
        <v>1200</v>
      </c>
      <c r="D19" s="85" t="inlineStr">
        <is>
          <t>currency</t>
        </is>
      </c>
    </row>
    <row r="20" ht="15" customHeight="1" s="58">
      <c r="B20" s="83" t="inlineStr">
        <is>
          <t>Ad Spend Growth</t>
        </is>
      </c>
      <c r="C20" s="84" t="n">
        <v>0.1</v>
      </c>
      <c r="D20" s="85" t="inlineStr">
        <is>
          <t>decimal</t>
        </is>
      </c>
    </row>
    <row r="21" ht="15" customHeight="1" s="58">
      <c r="B21" s="83" t="inlineStr">
        <is>
          <t>Cost Per Click</t>
        </is>
      </c>
      <c r="C21" s="84" t="n">
        <v>2</v>
      </c>
      <c r="D21" s="85" t="inlineStr">
        <is>
          <t>currency</t>
        </is>
      </c>
    </row>
    <row r="23" ht="15" customHeight="1" s="58">
      <c r="B23" s="82" t="inlineStr">
        <is>
          <t>TRAFFIC</t>
        </is>
      </c>
    </row>
    <row r="24" ht="15" customHeight="1" s="58">
      <c r="B24" s="83" t="inlineStr">
        <is>
          <t>Organic Traffic</t>
        </is>
      </c>
      <c r="C24" s="86">
        <f>C8</f>
        <v/>
      </c>
      <c r="D24" s="86">
        <f>C24*(1+$C9)</f>
        <v/>
      </c>
      <c r="E24" s="86">
        <f>D24*(1+$C9)</f>
        <v/>
      </c>
      <c r="F24" s="86">
        <f>E24*(1+$C9)</f>
        <v/>
      </c>
      <c r="G24" s="86">
        <f>F24*(1+$C9)</f>
        <v/>
      </c>
      <c r="H24" s="86">
        <f>G24*(1+$C9)</f>
        <v/>
      </c>
      <c r="I24" s="86">
        <f>H24*(1+$C9)</f>
        <v/>
      </c>
      <c r="J24" s="86">
        <f>I24*(1+$C9)</f>
        <v/>
      </c>
      <c r="K24" s="86">
        <f>J24*(1+$C9)</f>
        <v/>
      </c>
      <c r="L24" s="86">
        <f>K24*(1+$C9)</f>
        <v/>
      </c>
      <c r="M24" s="86">
        <f>L24*(1+$C9)</f>
        <v/>
      </c>
      <c r="N24" s="86">
        <f>M24*(1+$C9)</f>
        <v/>
      </c>
    </row>
    <row r="25" ht="15" customHeight="1" s="58">
      <c r="B25" s="83" t="inlineStr">
        <is>
          <t>Paid Traffic</t>
        </is>
      </c>
      <c r="C25" s="86">
        <f>C10</f>
        <v/>
      </c>
      <c r="D25" s="86">
        <f>C25*(1+$C11)</f>
        <v/>
      </c>
      <c r="E25" s="86">
        <f>D25*(1+$C11)</f>
        <v/>
      </c>
      <c r="F25" s="86">
        <f>E25*(1+$C11)</f>
        <v/>
      </c>
      <c r="G25" s="86">
        <f>F25*(1+$C11)</f>
        <v/>
      </c>
      <c r="H25" s="86">
        <f>G25*(1+$C11)</f>
        <v/>
      </c>
      <c r="I25" s="86">
        <f>H25*(1+$C11)</f>
        <v/>
      </c>
      <c r="J25" s="86">
        <f>I25*(1+$C11)</f>
        <v/>
      </c>
      <c r="K25" s="86">
        <f>J25*(1+$C11)</f>
        <v/>
      </c>
      <c r="L25" s="86">
        <f>K25*(1+$C11)</f>
        <v/>
      </c>
      <c r="M25" s="86">
        <f>L25*(1+$C11)</f>
        <v/>
      </c>
      <c r="N25" s="86">
        <f>M25*(1+$C11)</f>
        <v/>
      </c>
    </row>
    <row r="26" ht="15" customHeight="1" s="58">
      <c r="B26" s="83" t="inlineStr">
        <is>
          <t>Direct/Referral Traffic</t>
        </is>
      </c>
      <c r="C26" s="86">
        <f>C24*0.25</f>
        <v/>
      </c>
      <c r="D26" s="86">
        <f>D24*0.25</f>
        <v/>
      </c>
      <c r="E26" s="86">
        <f>E24*0.25</f>
        <v/>
      </c>
      <c r="F26" s="86">
        <f>F24*0.25</f>
        <v/>
      </c>
      <c r="G26" s="86">
        <f>G24*0.25</f>
        <v/>
      </c>
      <c r="H26" s="86">
        <f>H24*0.25</f>
        <v/>
      </c>
      <c r="I26" s="86">
        <f>I24*0.25</f>
        <v/>
      </c>
      <c r="J26" s="86">
        <f>J24*0.25</f>
        <v/>
      </c>
      <c r="K26" s="86">
        <f>K24*0.25</f>
        <v/>
      </c>
      <c r="L26" s="86">
        <f>L24*0.25</f>
        <v/>
      </c>
      <c r="M26" s="86">
        <f>M24*0.25</f>
        <v/>
      </c>
      <c r="N26" s="86">
        <f>N24*0.25</f>
        <v/>
      </c>
    </row>
    <row r="27" ht="15" customHeight="1" s="58">
      <c r="B27" s="70" t="inlineStr">
        <is>
          <t>TOTAL TRAFFIC</t>
        </is>
      </c>
      <c r="C27" s="87">
        <f>C24+C25+C26</f>
        <v/>
      </c>
      <c r="D27" s="87">
        <f>D24+D25+D26</f>
        <v/>
      </c>
      <c r="E27" s="87">
        <f>E24+E25+E26</f>
        <v/>
      </c>
      <c r="F27" s="87">
        <f>F24+F25+F26</f>
        <v/>
      </c>
      <c r="G27" s="87">
        <f>G24+G25+G26</f>
        <v/>
      </c>
      <c r="H27" s="87">
        <f>H24+H25+H26</f>
        <v/>
      </c>
      <c r="I27" s="87">
        <f>I24+I25+I26</f>
        <v/>
      </c>
      <c r="J27" s="87">
        <f>J24+J25+J26</f>
        <v/>
      </c>
      <c r="K27" s="87">
        <f>K24+K25+K26</f>
        <v/>
      </c>
      <c r="L27" s="87">
        <f>L24+L25+L26</f>
        <v/>
      </c>
      <c r="M27" s="87">
        <f>M24+M25+M26</f>
        <v/>
      </c>
      <c r="N27" s="87">
        <f>N24+N25+N26</f>
        <v/>
      </c>
    </row>
    <row r="29" ht="15" customHeight="1" s="58">
      <c r="B29" s="82" t="inlineStr">
        <is>
          <t>CONVERSION</t>
        </is>
      </c>
    </row>
    <row r="30" ht="15" customHeight="1" s="58">
      <c r="B30" s="83" t="inlineStr">
        <is>
          <t>Conversion Rate</t>
        </is>
      </c>
      <c r="C30" s="88">
        <f>C12</f>
        <v/>
      </c>
      <c r="D30" s="88">
        <f>MIN(C30+$C13,$C14)</f>
        <v/>
      </c>
      <c r="E30" s="88">
        <f>MIN(D30+$C13,$C14)</f>
        <v/>
      </c>
      <c r="F30" s="88">
        <f>MIN(E30+$C13,$C14)</f>
        <v/>
      </c>
      <c r="G30" s="88">
        <f>MIN(F30+$C13,$C14)</f>
        <v/>
      </c>
      <c r="H30" s="88">
        <f>MIN(G30+$C13,$C14)</f>
        <v/>
      </c>
      <c r="I30" s="88">
        <f>MIN(H30+$C13,$C14)</f>
        <v/>
      </c>
      <c r="J30" s="88">
        <f>MIN(I30+$C13,$C14)</f>
        <v/>
      </c>
      <c r="K30" s="88">
        <f>MIN(J30+$C13,$C14)</f>
        <v/>
      </c>
      <c r="L30" s="88">
        <f>MIN(K30+$C13,$C14)</f>
        <v/>
      </c>
      <c r="M30" s="88">
        <f>MIN(L30+$C13,$C14)</f>
        <v/>
      </c>
      <c r="N30" s="88">
        <f>MIN(M30+$C13,$C14)</f>
        <v/>
      </c>
    </row>
    <row r="31" ht="15" customHeight="1" s="58">
      <c r="B31" s="83" t="inlineStr">
        <is>
          <t>Orders</t>
        </is>
      </c>
      <c r="C31" s="86">
        <f>C27*C30</f>
        <v/>
      </c>
      <c r="D31" s="86">
        <f>D27*D30</f>
        <v/>
      </c>
      <c r="E31" s="86">
        <f>E27*E30</f>
        <v/>
      </c>
      <c r="F31" s="86">
        <f>F27*F30</f>
        <v/>
      </c>
      <c r="G31" s="86">
        <f>G27*G30</f>
        <v/>
      </c>
      <c r="H31" s="86">
        <f>H27*H30</f>
        <v/>
      </c>
      <c r="I31" s="86">
        <f>I27*I30</f>
        <v/>
      </c>
      <c r="J31" s="86">
        <f>J27*J30</f>
        <v/>
      </c>
      <c r="K31" s="86">
        <f>K27*K30</f>
        <v/>
      </c>
      <c r="L31" s="86">
        <f>L27*L30</f>
        <v/>
      </c>
      <c r="M31" s="86">
        <f>M27*M30</f>
        <v/>
      </c>
      <c r="N31" s="86">
        <f>N27*N30</f>
        <v/>
      </c>
    </row>
    <row r="33" ht="15" customHeight="1" s="58">
      <c r="B33" s="82" t="inlineStr">
        <is>
          <t>REVENUE</t>
        </is>
      </c>
    </row>
    <row r="34" ht="15" customHeight="1" s="58">
      <c r="B34" s="83" t="inlineStr">
        <is>
          <t>Average Order Value (£)</t>
        </is>
      </c>
      <c r="C34" s="89">
        <f>C15</f>
        <v/>
      </c>
      <c r="D34" s="89">
        <f>C34*(1+$C16)</f>
        <v/>
      </c>
      <c r="E34" s="89">
        <f>D34*(1+$C16)</f>
        <v/>
      </c>
      <c r="F34" s="89">
        <f>E34*(1+$C16)</f>
        <v/>
      </c>
      <c r="G34" s="89">
        <f>F34*(1+$C16)</f>
        <v/>
      </c>
      <c r="H34" s="89">
        <f>G34*(1+$C16)</f>
        <v/>
      </c>
      <c r="I34" s="89">
        <f>H34*(1+$C16)</f>
        <v/>
      </c>
      <c r="J34" s="89">
        <f>I34*(1+$C16)</f>
        <v/>
      </c>
      <c r="K34" s="89">
        <f>J34*(1+$C16)</f>
        <v/>
      </c>
      <c r="L34" s="89">
        <f>K34*(1+$C16)</f>
        <v/>
      </c>
      <c r="M34" s="89">
        <f>L34*(1+$C16)</f>
        <v/>
      </c>
      <c r="N34" s="89">
        <f>M34*(1+$C16)</f>
        <v/>
      </c>
    </row>
    <row r="35" ht="15" customHeight="1" s="58">
      <c r="B35" s="70" t="inlineStr">
        <is>
          <t>REVENUE (£)</t>
        </is>
      </c>
      <c r="C35" s="90">
        <f>C31*C34</f>
        <v/>
      </c>
      <c r="D35" s="90">
        <f>D31*D34</f>
        <v/>
      </c>
      <c r="E35" s="90">
        <f>E31*E34</f>
        <v/>
      </c>
      <c r="F35" s="90">
        <f>F31*F34</f>
        <v/>
      </c>
      <c r="G35" s="90">
        <f>G31*G34</f>
        <v/>
      </c>
      <c r="H35" s="90">
        <f>H31*H34</f>
        <v/>
      </c>
      <c r="I35" s="90">
        <f>I31*I34</f>
        <v/>
      </c>
      <c r="J35" s="90">
        <f>J31*J34</f>
        <v/>
      </c>
      <c r="K35" s="90">
        <f>K31*K34</f>
        <v/>
      </c>
      <c r="L35" s="90">
        <f>L31*L34</f>
        <v/>
      </c>
      <c r="M35" s="90">
        <f>M31*M34</f>
        <v/>
      </c>
      <c r="N35" s="90">
        <f>N31*N34</f>
        <v/>
      </c>
    </row>
    <row r="37" ht="15" customHeight="1" s="58">
      <c r="B37" s="82" t="inlineStr">
        <is>
          <t>COSTS</t>
        </is>
      </c>
    </row>
    <row r="38" ht="15" customHeight="1" s="58">
      <c r="B38" s="83" t="inlineStr">
        <is>
          <t>Cost of Goods Sold (£)</t>
        </is>
      </c>
      <c r="C38" s="91">
        <f>-C35*(1-$C17)</f>
        <v/>
      </c>
      <c r="D38" s="91">
        <f>-D35*(1-$C17)</f>
        <v/>
      </c>
      <c r="E38" s="91">
        <f>-E35*(1-$C17)</f>
        <v/>
      </c>
      <c r="F38" s="91">
        <f>-F35*(1-$C17)</f>
        <v/>
      </c>
      <c r="G38" s="91">
        <f>-G35*(1-$C17)</f>
        <v/>
      </c>
      <c r="H38" s="91">
        <f>-H35*(1-$C17)</f>
        <v/>
      </c>
      <c r="I38" s="91">
        <f>-I35*(1-$C17)</f>
        <v/>
      </c>
      <c r="J38" s="91">
        <f>-J35*(1-$C17)</f>
        <v/>
      </c>
      <c r="K38" s="91">
        <f>-K35*(1-$C17)</f>
        <v/>
      </c>
      <c r="L38" s="91">
        <f>-L35*(1-$C17)</f>
        <v/>
      </c>
      <c r="M38" s="91">
        <f>-M35*(1-$C17)</f>
        <v/>
      </c>
      <c r="N38" s="91">
        <f>-N35*(1-$C17)</f>
        <v/>
      </c>
    </row>
    <row r="39" ht="15" customHeight="1" s="58">
      <c r="B39" s="83" t="inlineStr">
        <is>
          <t>Distribution Costs (£)</t>
        </is>
      </c>
      <c r="C39" s="91">
        <f>-C35*$C18</f>
        <v/>
      </c>
      <c r="D39" s="91">
        <f>-D35*$C18</f>
        <v/>
      </c>
      <c r="E39" s="91">
        <f>-E35*$C18</f>
        <v/>
      </c>
      <c r="F39" s="91">
        <f>-F35*$C18</f>
        <v/>
      </c>
      <c r="G39" s="91">
        <f>-G35*$C18</f>
        <v/>
      </c>
      <c r="H39" s="91">
        <f>-H35*$C18</f>
        <v/>
      </c>
      <c r="I39" s="91">
        <f>-I35*$C18</f>
        <v/>
      </c>
      <c r="J39" s="91">
        <f>-J35*$C18</f>
        <v/>
      </c>
      <c r="K39" s="91">
        <f>-K35*$C18</f>
        <v/>
      </c>
      <c r="L39" s="91">
        <f>-L35*$C18</f>
        <v/>
      </c>
      <c r="M39" s="91">
        <f>-M35*$C18</f>
        <v/>
      </c>
      <c r="N39" s="91">
        <f>-N35*$C18</f>
        <v/>
      </c>
    </row>
    <row r="40" ht="15" customHeight="1" s="58">
      <c r="B40" s="70" t="inlineStr">
        <is>
          <t>GROSS PROFIT (£)</t>
        </is>
      </c>
      <c r="C40" s="92">
        <f>C35+C38+C39</f>
        <v/>
      </c>
      <c r="D40" s="92">
        <f>D35+D38+D39</f>
        <v/>
      </c>
      <c r="E40" s="92">
        <f>E35+E38+E39</f>
        <v/>
      </c>
      <c r="F40" s="92">
        <f>F35+F38+F39</f>
        <v/>
      </c>
      <c r="G40" s="92">
        <f>G35+G38+G39</f>
        <v/>
      </c>
      <c r="H40" s="92">
        <f>H35+H38+H39</f>
        <v/>
      </c>
      <c r="I40" s="92">
        <f>I35+I38+I39</f>
        <v/>
      </c>
      <c r="J40" s="92">
        <f>J35+J38+J39</f>
        <v/>
      </c>
      <c r="K40" s="92">
        <f>K35+K38+K39</f>
        <v/>
      </c>
      <c r="L40" s="92">
        <f>L35+L38+L39</f>
        <v/>
      </c>
      <c r="M40" s="92">
        <f>M35+M38+M39</f>
        <v/>
      </c>
      <c r="N40" s="92">
        <f>N35+N38+N39</f>
        <v/>
      </c>
    </row>
    <row r="41" ht="15" customHeight="1" s="58">
      <c r="B41" s="83" t="inlineStr">
        <is>
          <t>Gross Margin %</t>
        </is>
      </c>
      <c r="C41" s="93">
        <f>IFERROR(C40/C35,0)</f>
        <v/>
      </c>
      <c r="D41" s="93">
        <f>IFERROR(D40/D35,0)</f>
        <v/>
      </c>
      <c r="E41" s="93">
        <f>IFERROR(E40/E35,0)</f>
        <v/>
      </c>
      <c r="F41" s="93">
        <f>IFERROR(F40/F35,0)</f>
        <v/>
      </c>
      <c r="G41" s="93">
        <f>IFERROR(G40/G35,0)</f>
        <v/>
      </c>
      <c r="H41" s="93">
        <f>IFERROR(H40/H35,0)</f>
        <v/>
      </c>
      <c r="I41" s="93">
        <f>IFERROR(I40/I35,0)</f>
        <v/>
      </c>
      <c r="J41" s="93">
        <f>IFERROR(J40/J35,0)</f>
        <v/>
      </c>
      <c r="K41" s="93">
        <f>IFERROR(K40/K35,0)</f>
        <v/>
      </c>
      <c r="L41" s="93">
        <f>IFERROR(L40/L35,0)</f>
        <v/>
      </c>
      <c r="M41" s="93">
        <f>IFERROR(M40/M35,0)</f>
        <v/>
      </c>
      <c r="N41" s="93">
        <f>IFERROR(N40/N35,0)</f>
        <v/>
      </c>
    </row>
    <row r="43" ht="15" customHeight="1" s="58">
      <c r="B43" s="82" t="inlineStr">
        <is>
          <t>MARKETING COSTS</t>
        </is>
      </c>
    </row>
    <row r="44" ht="15" customHeight="1" s="58">
      <c r="B44" s="83" t="inlineStr">
        <is>
          <t>Paid Ad Spend (£)</t>
        </is>
      </c>
      <c r="C44" s="91">
        <f>-C19</f>
        <v/>
      </c>
      <c r="D44" s="91">
        <f>C44*(1+$C20)</f>
        <v/>
      </c>
      <c r="E44" s="91">
        <f>D44*(1+$C20)</f>
        <v/>
      </c>
      <c r="F44" s="91">
        <f>E44*(1+$C20)</f>
        <v/>
      </c>
      <c r="G44" s="91">
        <f>F44*(1+$C20)</f>
        <v/>
      </c>
      <c r="H44" s="91">
        <f>G44*(1+$C20)</f>
        <v/>
      </c>
      <c r="I44" s="91">
        <f>H44*(1+$C20)</f>
        <v/>
      </c>
      <c r="J44" s="91">
        <f>I44*(1+$C20)</f>
        <v/>
      </c>
      <c r="K44" s="91">
        <f>J44*(1+$C20)</f>
        <v/>
      </c>
      <c r="L44" s="91">
        <f>K44*(1+$C20)</f>
        <v/>
      </c>
      <c r="M44" s="91">
        <f>L44*(1+$C20)</f>
        <v/>
      </c>
      <c r="N44" s="91">
        <f>M44*(1+$C20)</f>
        <v/>
      </c>
    </row>
    <row r="45" ht="15" customHeight="1" s="58">
      <c r="B45" s="83" t="inlineStr">
        <is>
          <t>SEO &amp; Content (£)</t>
        </is>
      </c>
      <c r="C45" s="91" t="n">
        <v>-1000</v>
      </c>
      <c r="D45" s="91" t="n">
        <v>-1000</v>
      </c>
      <c r="E45" s="91" t="n">
        <v>-1000</v>
      </c>
      <c r="F45" s="91" t="n">
        <v>-1000</v>
      </c>
      <c r="G45" s="91" t="n">
        <v>-1000</v>
      </c>
      <c r="H45" s="91" t="n">
        <v>-1000</v>
      </c>
      <c r="I45" s="91" t="n">
        <v>-1000</v>
      </c>
      <c r="J45" s="91" t="n">
        <v>-1000</v>
      </c>
      <c r="K45" s="91" t="n">
        <v>-1000</v>
      </c>
      <c r="L45" s="91" t="n">
        <v>-1000</v>
      </c>
      <c r="M45" s="91" t="n">
        <v>-1000</v>
      </c>
      <c r="N45" s="91" t="n">
        <v>-1000</v>
      </c>
    </row>
    <row r="46" ht="15" customHeight="1" s="58">
      <c r="B46" s="83" t="inlineStr">
        <is>
          <t>Email Marketing (£)</t>
        </is>
      </c>
      <c r="C46" s="91" t="n">
        <v>-300</v>
      </c>
      <c r="D46" s="91" t="n">
        <v>-300</v>
      </c>
      <c r="E46" s="91" t="n">
        <v>-300</v>
      </c>
      <c r="F46" s="91" t="n">
        <v>-300</v>
      </c>
      <c r="G46" s="91" t="n">
        <v>-300</v>
      </c>
      <c r="H46" s="91" t="n">
        <v>-300</v>
      </c>
      <c r="I46" s="91" t="n">
        <v>-300</v>
      </c>
      <c r="J46" s="91" t="n">
        <v>-300</v>
      </c>
      <c r="K46" s="91" t="n">
        <v>-300</v>
      </c>
      <c r="L46" s="91" t="n">
        <v>-300</v>
      </c>
      <c r="M46" s="91" t="n">
        <v>-300</v>
      </c>
      <c r="N46" s="91" t="n">
        <v>-300</v>
      </c>
    </row>
    <row r="47" ht="15" customHeight="1" s="58">
      <c r="B47" s="70" t="inlineStr">
        <is>
          <t>TOTAL MARKETING (£)</t>
        </is>
      </c>
      <c r="C47" s="94">
        <f>C44+C45+C46</f>
        <v/>
      </c>
      <c r="D47" s="94">
        <f>D44+D45+D46</f>
        <v/>
      </c>
      <c r="E47" s="94">
        <f>E44+E45+E46</f>
        <v/>
      </c>
      <c r="F47" s="94">
        <f>F44+F45+F46</f>
        <v/>
      </c>
      <c r="G47" s="94">
        <f>G44+G45+G46</f>
        <v/>
      </c>
      <c r="H47" s="94">
        <f>H44+H45+H46</f>
        <v/>
      </c>
      <c r="I47" s="94">
        <f>I44+I45+I46</f>
        <v/>
      </c>
      <c r="J47" s="94">
        <f>J44+J45+J46</f>
        <v/>
      </c>
      <c r="K47" s="94">
        <f>K44+K45+K46</f>
        <v/>
      </c>
      <c r="L47" s="94">
        <f>L44+L45+L46</f>
        <v/>
      </c>
      <c r="M47" s="94">
        <f>M44+M45+M46</f>
        <v/>
      </c>
      <c r="N47" s="94">
        <f>N44+N45+N46</f>
        <v/>
      </c>
    </row>
    <row r="49" ht="15" customHeight="1" s="58">
      <c r="B49" s="82" t="inlineStr">
        <is>
          <t>OPERATIONAL COSTS</t>
        </is>
      </c>
    </row>
    <row r="50" ht="15" customHeight="1" s="58">
      <c r="B50" s="83" t="inlineStr">
        <is>
          <t>Platform &amp; Hosting (£)</t>
        </is>
      </c>
      <c r="C50" s="91" t="n">
        <v>-250</v>
      </c>
      <c r="D50" s="91" t="n">
        <v>-250</v>
      </c>
      <c r="E50" s="91" t="n">
        <v>-250</v>
      </c>
      <c r="F50" s="91" t="n">
        <v>-250</v>
      </c>
      <c r="G50" s="91" t="n">
        <v>-250</v>
      </c>
      <c r="H50" s="91" t="n">
        <v>-250</v>
      </c>
      <c r="I50" s="91" t="n">
        <v>-250</v>
      </c>
      <c r="J50" s="91" t="n">
        <v>-250</v>
      </c>
      <c r="K50" s="91" t="n">
        <v>-250</v>
      </c>
      <c r="L50" s="91" t="n">
        <v>-250</v>
      </c>
      <c r="M50" s="91" t="n">
        <v>-250</v>
      </c>
      <c r="N50" s="91" t="n">
        <v>-250</v>
      </c>
    </row>
    <row r="51" ht="15" customHeight="1" s="58">
      <c r="B51" s="83" t="inlineStr">
        <is>
          <t>Payment Processing (£)</t>
        </is>
      </c>
      <c r="C51" s="91">
        <f>-C35*0.025</f>
        <v/>
      </c>
      <c r="D51" s="91">
        <f>-D35*0.025</f>
        <v/>
      </c>
      <c r="E51" s="91">
        <f>-E35*0.025</f>
        <v/>
      </c>
      <c r="F51" s="91">
        <f>-F35*0.025</f>
        <v/>
      </c>
      <c r="G51" s="91">
        <f>-G35*0.025</f>
        <v/>
      </c>
      <c r="H51" s="91">
        <f>-H35*0.025</f>
        <v/>
      </c>
      <c r="I51" s="91">
        <f>-I35*0.025</f>
        <v/>
      </c>
      <c r="J51" s="91">
        <f>-J35*0.025</f>
        <v/>
      </c>
      <c r="K51" s="91">
        <f>-K35*0.025</f>
        <v/>
      </c>
      <c r="L51" s="91">
        <f>-L35*0.025</f>
        <v/>
      </c>
      <c r="M51" s="91">
        <f>-M35*0.025</f>
        <v/>
      </c>
      <c r="N51" s="91">
        <f>-N35*0.025</f>
        <v/>
      </c>
    </row>
    <row r="52" ht="15" customHeight="1" s="58">
      <c r="B52" s="83" t="inlineStr">
        <is>
          <t>Customer Service (£)</t>
        </is>
      </c>
      <c r="C52" s="91" t="n">
        <v>-1000</v>
      </c>
      <c r="D52" s="91" t="n">
        <v>-1000</v>
      </c>
      <c r="E52" s="91" t="n">
        <v>-1000</v>
      </c>
      <c r="F52" s="91" t="n">
        <v>-1000</v>
      </c>
      <c r="G52" s="91" t="n">
        <v>-1000</v>
      </c>
      <c r="H52" s="91" t="n">
        <v>-1000</v>
      </c>
      <c r="I52" s="91" t="n">
        <v>-1000</v>
      </c>
      <c r="J52" s="91" t="n">
        <v>-1000</v>
      </c>
      <c r="K52" s="91" t="n">
        <v>-1000</v>
      </c>
      <c r="L52" s="91" t="n">
        <v>-1000</v>
      </c>
      <c r="M52" s="91" t="n">
        <v>-1000</v>
      </c>
      <c r="N52" s="91" t="n">
        <v>-1000</v>
      </c>
    </row>
    <row r="53" ht="15" customHeight="1" s="58">
      <c r="B53" s="83" t="inlineStr">
        <is>
          <t>Software &amp; Tools (£)</t>
        </is>
      </c>
      <c r="C53" s="91" t="n">
        <v>-400</v>
      </c>
      <c r="D53" s="91" t="n">
        <v>-400</v>
      </c>
      <c r="E53" s="91" t="n">
        <v>-400</v>
      </c>
      <c r="F53" s="91" t="n">
        <v>-400</v>
      </c>
      <c r="G53" s="91" t="n">
        <v>-400</v>
      </c>
      <c r="H53" s="91" t="n">
        <v>-400</v>
      </c>
      <c r="I53" s="91" t="n">
        <v>-400</v>
      </c>
      <c r="J53" s="91" t="n">
        <v>-400</v>
      </c>
      <c r="K53" s="91" t="n">
        <v>-400</v>
      </c>
      <c r="L53" s="91" t="n">
        <v>-400</v>
      </c>
      <c r="M53" s="91" t="n">
        <v>-400</v>
      </c>
      <c r="N53" s="91" t="n">
        <v>-400</v>
      </c>
    </row>
    <row r="54" ht="15" customHeight="1" s="58">
      <c r="B54" s="70" t="inlineStr">
        <is>
          <t>TOTAL OPERATIONAL (£)</t>
        </is>
      </c>
      <c r="C54" s="94">
        <f>C50+C51+C52+C53</f>
        <v/>
      </c>
      <c r="D54" s="94">
        <f>D50+D51+D52+D53</f>
        <v/>
      </c>
      <c r="E54" s="94">
        <f>E50+E51+E52+E53</f>
        <v/>
      </c>
      <c r="F54" s="94">
        <f>F50+F51+F52+F53</f>
        <v/>
      </c>
      <c r="G54" s="94">
        <f>G50+G51+G52+G53</f>
        <v/>
      </c>
      <c r="H54" s="94">
        <f>H50+H51+H52+H53</f>
        <v/>
      </c>
      <c r="I54" s="94">
        <f>I50+I51+I52+I53</f>
        <v/>
      </c>
      <c r="J54" s="94">
        <f>J50+J51+J52+J53</f>
        <v/>
      </c>
      <c r="K54" s="94">
        <f>K50+K51+K52+K53</f>
        <v/>
      </c>
      <c r="L54" s="94">
        <f>L50+L51+L52+L53</f>
        <v/>
      </c>
      <c r="M54" s="94">
        <f>M50+M51+M52+M53</f>
        <v/>
      </c>
      <c r="N54" s="94">
        <f>N50+N51+N52+N53</f>
        <v/>
      </c>
    </row>
    <row r="56" ht="15" customHeight="1" s="58">
      <c r="B56" s="82" t="inlineStr">
        <is>
          <t>PROFITABILITY</t>
        </is>
      </c>
    </row>
    <row r="57" ht="15" customHeight="1" s="58">
      <c r="B57" s="70" t="inlineStr">
        <is>
          <t>CONTRIBUTION (£)</t>
        </is>
      </c>
      <c r="C57" s="95">
        <f>C40+C47+C54</f>
        <v/>
      </c>
      <c r="D57" s="95">
        <f>D40+D47+D54</f>
        <v/>
      </c>
      <c r="E57" s="95">
        <f>E40+E47+E54</f>
        <v/>
      </c>
      <c r="F57" s="95">
        <f>F40+F47+F54</f>
        <v/>
      </c>
      <c r="G57" s="95">
        <f>G40+G47+G54</f>
        <v/>
      </c>
      <c r="H57" s="95">
        <f>H40+H47+H54</f>
        <v/>
      </c>
      <c r="I57" s="95">
        <f>I40+I47+I54</f>
        <v/>
      </c>
      <c r="J57" s="95">
        <f>J40+J47+J54</f>
        <v/>
      </c>
      <c r="K57" s="95">
        <f>K40+K47+K54</f>
        <v/>
      </c>
      <c r="L57" s="95">
        <f>L40+L47+L54</f>
        <v/>
      </c>
      <c r="M57" s="95">
        <f>M40+M47+M54</f>
        <v/>
      </c>
      <c r="N57" s="95">
        <f>N40+N47+N54</f>
        <v/>
      </c>
    </row>
    <row r="58" ht="15" customHeight="1" s="58">
      <c r="B58" s="83" t="inlineStr">
        <is>
          <t>Cumulative Contribution (£)</t>
        </is>
      </c>
      <c r="C58" s="91">
        <f>C57</f>
        <v/>
      </c>
      <c r="D58" s="91">
        <f>C58+D57</f>
        <v/>
      </c>
      <c r="E58" s="91">
        <f>D58+E57</f>
        <v/>
      </c>
      <c r="F58" s="91">
        <f>E58+F57</f>
        <v/>
      </c>
      <c r="G58" s="91">
        <f>F58+G57</f>
        <v/>
      </c>
      <c r="H58" s="91">
        <f>G58+H57</f>
        <v/>
      </c>
      <c r="I58" s="91">
        <f>H58+I57</f>
        <v/>
      </c>
      <c r="J58" s="91">
        <f>I58+J57</f>
        <v/>
      </c>
      <c r="K58" s="91">
        <f>J58+K57</f>
        <v/>
      </c>
      <c r="L58" s="91">
        <f>K58+L57</f>
        <v/>
      </c>
      <c r="M58" s="91">
        <f>L58+M57</f>
        <v/>
      </c>
      <c r="N58" s="91">
        <f>M58+N57</f>
        <v/>
      </c>
    </row>
    <row r="60" ht="15" customHeight="1" s="58">
      <c r="B60" s="82" t="inlineStr">
        <is>
          <t>KEY PERFORMANCE INDICATORS</t>
        </is>
      </c>
    </row>
    <row r="61" ht="15" customHeight="1" s="58">
      <c r="B61" s="83" t="inlineStr">
        <is>
          <t>ROAS (Return on Ad Spend)</t>
        </is>
      </c>
      <c r="C61" s="96">
        <f>IFERROR(C35/ABS(C44),0)</f>
        <v/>
      </c>
      <c r="D61" s="96">
        <f>IFERROR(D35/ABS(D44),0)</f>
        <v/>
      </c>
      <c r="E61" s="96">
        <f>IFERROR(E35/ABS(E44),0)</f>
        <v/>
      </c>
      <c r="F61" s="96">
        <f>IFERROR(F35/ABS(F44),0)</f>
        <v/>
      </c>
      <c r="G61" s="96">
        <f>IFERROR(G35/ABS(G44),0)</f>
        <v/>
      </c>
      <c r="H61" s="96">
        <f>IFERROR(H35/ABS(H44),0)</f>
        <v/>
      </c>
      <c r="I61" s="96">
        <f>IFERROR(I35/ABS(I44),0)</f>
        <v/>
      </c>
      <c r="J61" s="96">
        <f>IFERROR(J35/ABS(J44),0)</f>
        <v/>
      </c>
      <c r="K61" s="96">
        <f>IFERROR(K35/ABS(K44),0)</f>
        <v/>
      </c>
      <c r="L61" s="96">
        <f>IFERROR(L35/ABS(L44),0)</f>
        <v/>
      </c>
      <c r="M61" s="96">
        <f>IFERROR(M35/ABS(M44),0)</f>
        <v/>
      </c>
      <c r="N61" s="96">
        <f>IFERROR(N35/ABS(N44),0)</f>
        <v/>
      </c>
    </row>
    <row r="62" ht="15" customHeight="1" s="58">
      <c r="B62" s="83" t="inlineStr">
        <is>
          <t>CAC (£) - Paid Only</t>
        </is>
      </c>
      <c r="C62" s="89">
        <f>IFERROR(ABS(C44)/C31,0)</f>
        <v/>
      </c>
      <c r="D62" s="89">
        <f>IFERROR(ABS(D44)/D31,0)</f>
        <v/>
      </c>
      <c r="E62" s="89">
        <f>IFERROR(ABS(E44)/E31,0)</f>
        <v/>
      </c>
      <c r="F62" s="89">
        <f>IFERROR(ABS(F44)/F31,0)</f>
        <v/>
      </c>
      <c r="G62" s="89">
        <f>IFERROR(ABS(G44)/G31,0)</f>
        <v/>
      </c>
      <c r="H62" s="89">
        <f>IFERROR(ABS(H44)/H31,0)</f>
        <v/>
      </c>
      <c r="I62" s="89">
        <f>IFERROR(ABS(I44)/I31,0)</f>
        <v/>
      </c>
      <c r="J62" s="89">
        <f>IFERROR(ABS(J44)/J31,0)</f>
        <v/>
      </c>
      <c r="K62" s="89">
        <f>IFERROR(ABS(K44)/K31,0)</f>
        <v/>
      </c>
      <c r="L62" s="89">
        <f>IFERROR(ABS(L44)/L31,0)</f>
        <v/>
      </c>
      <c r="M62" s="89">
        <f>IFERROR(ABS(M44)/M31,0)</f>
        <v/>
      </c>
      <c r="N62" s="89">
        <f>IFERROR(ABS(N44)/N31,0)</f>
        <v/>
      </c>
    </row>
    <row r="63" ht="15" customHeight="1" s="58">
      <c r="B63" s="83" t="inlineStr">
        <is>
          <t>Revenue per Visitor (£)</t>
        </is>
      </c>
      <c r="C63" s="89">
        <f>IFERROR(C35/C27,0)</f>
        <v/>
      </c>
      <c r="D63" s="89">
        <f>IFERROR(D35/D27,0)</f>
        <v/>
      </c>
      <c r="E63" s="89">
        <f>IFERROR(E35/E27,0)</f>
        <v/>
      </c>
      <c r="F63" s="89">
        <f>IFERROR(F35/F27,0)</f>
        <v/>
      </c>
      <c r="G63" s="89">
        <f>IFERROR(G35/G27,0)</f>
        <v/>
      </c>
      <c r="H63" s="89">
        <f>IFERROR(H35/H27,0)</f>
        <v/>
      </c>
      <c r="I63" s="89">
        <f>IFERROR(I35/I27,0)</f>
        <v/>
      </c>
      <c r="J63" s="89">
        <f>IFERROR(J35/J27,0)</f>
        <v/>
      </c>
      <c r="K63" s="89">
        <f>IFERROR(K35/K27,0)</f>
        <v/>
      </c>
      <c r="L63" s="89">
        <f>IFERROR(L35/L27,0)</f>
        <v/>
      </c>
      <c r="M63" s="89">
        <f>IFERROR(M35/M27,0)</f>
        <v/>
      </c>
      <c r="N63" s="89">
        <f>IFERROR(N35/N27,0)</f>
        <v/>
      </c>
    </row>
  </sheetData>
  <mergeCells count="1">
    <mergeCell ref="B2:N2"/>
  </mergeCells>
  <conditionalFormatting sqref="C35:N35">
    <cfRule type="dataBar" priority="2">
      <dataBar minLength="10" maxLength="90" showValue="1">
        <cfvo type="min" val="0"/>
        <cfvo type="max" val="0"/>
        <color rgb="FF4A90D9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N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7" min="1" max="1"/>
    <col width="28" customWidth="1" style="57" min="2" max="2"/>
    <col width="14" customWidth="1" style="57" min="3" max="14"/>
    <col width="35" customWidth="1" style="57" min="15" max="15"/>
  </cols>
  <sheetData>
    <row r="2" ht="34.5" customHeight="1" s="58">
      <c r="B2" s="72" t="inlineStr">
        <is>
          <t>PORTFOLIO CONSOLIDATED VIEW</t>
        </is>
      </c>
    </row>
    <row r="3" ht="15" customHeight="1" s="58">
      <c r="B3" s="73" t="inlineStr">
        <is>
          <t>Aggregated 12-Month Projection for All 5 Sites | Currency: GBP (£)</t>
        </is>
      </c>
    </row>
    <row r="5" ht="15" customHeight="1" s="58">
      <c r="B5" s="81" t="inlineStr">
        <is>
          <t>METRIC</t>
        </is>
      </c>
      <c r="C5" s="75" t="inlineStr">
        <is>
          <t>M1</t>
        </is>
      </c>
      <c r="D5" s="75" t="inlineStr">
        <is>
          <t>M2</t>
        </is>
      </c>
      <c r="E5" s="75" t="inlineStr">
        <is>
          <t>M3</t>
        </is>
      </c>
      <c r="F5" s="75" t="inlineStr">
        <is>
          <t>M4</t>
        </is>
      </c>
      <c r="G5" s="75" t="inlineStr">
        <is>
          <t>M5</t>
        </is>
      </c>
      <c r="H5" s="75" t="inlineStr">
        <is>
          <t>M6</t>
        </is>
      </c>
      <c r="I5" s="75" t="inlineStr">
        <is>
          <t>M7</t>
        </is>
      </c>
      <c r="J5" s="75" t="inlineStr">
        <is>
          <t>M8</t>
        </is>
      </c>
      <c r="K5" s="75" t="inlineStr">
        <is>
          <t>M9</t>
        </is>
      </c>
      <c r="L5" s="75" t="inlineStr">
        <is>
          <t>M10</t>
        </is>
      </c>
      <c r="M5" s="75" t="inlineStr">
        <is>
          <t>M11</t>
        </is>
      </c>
      <c r="N5" s="75" t="inlineStr">
        <is>
          <t>M12</t>
        </is>
      </c>
    </row>
    <row r="7" ht="15" customHeight="1" s="58">
      <c r="B7" s="82" t="inlineStr">
        <is>
          <t>SITE SUMMARY</t>
        </is>
      </c>
    </row>
    <row r="8" ht="15" customHeight="1" s="58">
      <c r="B8" s="83" t="inlineStr">
        <is>
          <t>GTSE.co.uk Revenue (£)</t>
        </is>
      </c>
      <c r="C8" s="97">
        <f>'GTSE.co.uk'!C35</f>
        <v/>
      </c>
      <c r="D8" s="97">
        <f>'GTSE.co.uk'!D35</f>
        <v/>
      </c>
      <c r="E8" s="97">
        <f>'GTSE.co.uk'!E35</f>
        <v/>
      </c>
      <c r="F8" s="97">
        <f>'GTSE.co.uk'!F35</f>
        <v/>
      </c>
      <c r="G8" s="97">
        <f>'GTSE.co.uk'!G35</f>
        <v/>
      </c>
      <c r="H8" s="97">
        <f>'GTSE.co.uk'!H35</f>
        <v/>
      </c>
      <c r="I8" s="97">
        <f>'GTSE.co.uk'!I35</f>
        <v/>
      </c>
      <c r="J8" s="97">
        <f>'GTSE.co.uk'!J35</f>
        <v/>
      </c>
      <c r="K8" s="97">
        <f>'GTSE.co.uk'!K35</f>
        <v/>
      </c>
      <c r="L8" s="97">
        <f>'GTSE.co.uk'!L35</f>
        <v/>
      </c>
      <c r="M8" s="97">
        <f>'GTSE.co.uk'!M35</f>
        <v/>
      </c>
      <c r="N8" s="97">
        <f>'GTSE.co.uk'!N35</f>
        <v/>
      </c>
    </row>
    <row r="9" ht="15" customHeight="1" s="58">
      <c r="B9" s="83" t="inlineStr">
        <is>
          <t>GTSEGroup.com Revenue (£)</t>
        </is>
      </c>
      <c r="C9" s="97">
        <f>'GTSEGroup.com'!C35</f>
        <v/>
      </c>
      <c r="D9" s="97">
        <f>'GTSEGroup.com'!D35</f>
        <v/>
      </c>
      <c r="E9" s="97">
        <f>'GTSEGroup.com'!E35</f>
        <v/>
      </c>
      <c r="F9" s="97">
        <f>'GTSEGroup.com'!F35</f>
        <v/>
      </c>
      <c r="G9" s="97">
        <f>'GTSEGroup.com'!G35</f>
        <v/>
      </c>
      <c r="H9" s="97">
        <f>'GTSEGroup.com'!H35</f>
        <v/>
      </c>
      <c r="I9" s="97">
        <f>'GTSEGroup.com'!I35</f>
        <v/>
      </c>
      <c r="J9" s="97">
        <f>'GTSEGroup.com'!J35</f>
        <v/>
      </c>
      <c r="K9" s="97">
        <f>'GTSEGroup.com'!K35</f>
        <v/>
      </c>
      <c r="L9" s="97">
        <f>'GTSEGroup.com'!L35</f>
        <v/>
      </c>
      <c r="M9" s="97">
        <f>'GTSEGroup.com'!M35</f>
        <v/>
      </c>
      <c r="N9" s="97">
        <f>'GTSEGroup.com'!N35</f>
        <v/>
      </c>
    </row>
    <row r="10" ht="15" customHeight="1" s="58">
      <c r="B10" s="83" t="inlineStr">
        <is>
          <t>SSH UK Revenue (£)</t>
        </is>
      </c>
      <c r="C10" s="97">
        <f>'SSH UK'!C35</f>
        <v/>
      </c>
      <c r="D10" s="97">
        <f>'SSH UK'!D35</f>
        <v/>
      </c>
      <c r="E10" s="97">
        <f>'SSH UK'!E35</f>
        <v/>
      </c>
      <c r="F10" s="97">
        <f>'SSH UK'!F35</f>
        <v/>
      </c>
      <c r="G10" s="97">
        <f>'SSH UK'!G35</f>
        <v/>
      </c>
      <c r="H10" s="97">
        <f>'SSH UK'!H35</f>
        <v/>
      </c>
      <c r="I10" s="97">
        <f>'SSH UK'!I35</f>
        <v/>
      </c>
      <c r="J10" s="97">
        <f>'SSH UK'!J35</f>
        <v/>
      </c>
      <c r="K10" s="97">
        <f>'SSH UK'!K35</f>
        <v/>
      </c>
      <c r="L10" s="97">
        <f>'SSH UK'!L35</f>
        <v/>
      </c>
      <c r="M10" s="97">
        <f>'SSH UK'!M35</f>
        <v/>
      </c>
      <c r="N10" s="97">
        <f>'SSH UK'!N35</f>
        <v/>
      </c>
    </row>
    <row r="11" ht="15" customHeight="1" s="58">
      <c r="B11" s="83" t="inlineStr">
        <is>
          <t>SSH USA Revenue (£)</t>
        </is>
      </c>
      <c r="C11" s="97">
        <f>'SSH USA'!C35</f>
        <v/>
      </c>
      <c r="D11" s="97">
        <f>'SSH USA'!D35</f>
        <v/>
      </c>
      <c r="E11" s="97">
        <f>'SSH USA'!E35</f>
        <v/>
      </c>
      <c r="F11" s="97">
        <f>'SSH USA'!F35</f>
        <v/>
      </c>
      <c r="G11" s="97">
        <f>'SSH USA'!G35</f>
        <v/>
      </c>
      <c r="H11" s="97">
        <f>'SSH USA'!H35</f>
        <v/>
      </c>
      <c r="I11" s="97">
        <f>'SSH USA'!I35</f>
        <v/>
      </c>
      <c r="J11" s="97">
        <f>'SSH USA'!J35</f>
        <v/>
      </c>
      <c r="K11" s="97">
        <f>'SSH USA'!K35</f>
        <v/>
      </c>
      <c r="L11" s="97">
        <f>'SSH USA'!L35</f>
        <v/>
      </c>
      <c r="M11" s="97">
        <f>'SSH USA'!M35</f>
        <v/>
      </c>
      <c r="N11" s="97">
        <f>'SSH USA'!N35</f>
        <v/>
      </c>
    </row>
    <row r="12" ht="15" customHeight="1" s="58">
      <c r="B12" s="83" t="inlineStr">
        <is>
          <t>Epha.com Revenue (£)</t>
        </is>
      </c>
      <c r="C12" s="97">
        <f>'Epha.com'!C35</f>
        <v/>
      </c>
      <c r="D12" s="97">
        <f>'Epha.com'!D35</f>
        <v/>
      </c>
      <c r="E12" s="97">
        <f>'Epha.com'!E35</f>
        <v/>
      </c>
      <c r="F12" s="97">
        <f>'Epha.com'!F35</f>
        <v/>
      </c>
      <c r="G12" s="97">
        <f>'Epha.com'!G35</f>
        <v/>
      </c>
      <c r="H12" s="97">
        <f>'Epha.com'!H35</f>
        <v/>
      </c>
      <c r="I12" s="97">
        <f>'Epha.com'!I35</f>
        <v/>
      </c>
      <c r="J12" s="97">
        <f>'Epha.com'!J35</f>
        <v/>
      </c>
      <c r="K12" s="97">
        <f>'Epha.com'!K35</f>
        <v/>
      </c>
      <c r="L12" s="97">
        <f>'Epha.com'!L35</f>
        <v/>
      </c>
      <c r="M12" s="97">
        <f>'Epha.com'!M35</f>
        <v/>
      </c>
      <c r="N12" s="97">
        <f>'Epha.com'!N35</f>
        <v/>
      </c>
    </row>
    <row r="13" ht="15" customHeight="1" s="58">
      <c r="B13" s="70" t="inlineStr">
        <is>
          <t>TOTAL REVENUE (£)</t>
        </is>
      </c>
      <c r="C13" s="90">
        <f>'GTSE.co.uk'!C35+'GTSEGroup.com'!C35+'SSH UK'!C35+'SSH USA'!C35+'Epha.com'!C35</f>
        <v/>
      </c>
      <c r="D13" s="90">
        <f>'GTSE.co.uk'!D35+'GTSEGroup.com'!D35+'SSH UK'!D35+'SSH USA'!D35+'Epha.com'!D35</f>
        <v/>
      </c>
      <c r="E13" s="90">
        <f>'GTSE.co.uk'!E35+'GTSEGroup.com'!E35+'SSH UK'!E35+'SSH USA'!E35+'Epha.com'!E35</f>
        <v/>
      </c>
      <c r="F13" s="90">
        <f>'GTSE.co.uk'!F35+'GTSEGroup.com'!F35+'SSH UK'!F35+'SSH USA'!F35+'Epha.com'!F35</f>
        <v/>
      </c>
      <c r="G13" s="90">
        <f>'GTSE.co.uk'!G35+'GTSEGroup.com'!G35+'SSH UK'!G35+'SSH USA'!G35+'Epha.com'!G35</f>
        <v/>
      </c>
      <c r="H13" s="90">
        <f>'GTSE.co.uk'!H35+'GTSEGroup.com'!H35+'SSH UK'!H35+'SSH USA'!H35+'Epha.com'!H35</f>
        <v/>
      </c>
      <c r="I13" s="90">
        <f>'GTSE.co.uk'!I35+'GTSEGroup.com'!I35+'SSH UK'!I35+'SSH USA'!I35+'Epha.com'!I35</f>
        <v/>
      </c>
      <c r="J13" s="90">
        <f>'GTSE.co.uk'!J35+'GTSEGroup.com'!J35+'SSH UK'!J35+'SSH USA'!J35+'Epha.com'!J35</f>
        <v/>
      </c>
      <c r="K13" s="90">
        <f>'GTSE.co.uk'!K35+'GTSEGroup.com'!K35+'SSH UK'!K35+'SSH USA'!K35+'Epha.com'!K35</f>
        <v/>
      </c>
      <c r="L13" s="90">
        <f>'GTSE.co.uk'!L35+'GTSEGroup.com'!L35+'SSH UK'!L35+'SSH USA'!L35+'Epha.com'!L35</f>
        <v/>
      </c>
      <c r="M13" s="90">
        <f>'GTSE.co.uk'!M35+'GTSEGroup.com'!M35+'SSH UK'!M35+'SSH USA'!M35+'Epha.com'!M35</f>
        <v/>
      </c>
      <c r="N13" s="90">
        <f>'GTSE.co.uk'!N35+'GTSEGroup.com'!N35+'SSH UK'!N35+'SSH USA'!N35+'Epha.com'!N35</f>
        <v/>
      </c>
    </row>
    <row r="15" ht="15" customHeight="1" s="58">
      <c r="B15" s="82" t="inlineStr">
        <is>
          <t>TRAFFIC (All Sites)</t>
        </is>
      </c>
    </row>
    <row r="16" ht="15" customHeight="1" s="58">
      <c r="B16" s="83" t="inlineStr">
        <is>
          <t>Total Traffic (All Sites)</t>
        </is>
      </c>
      <c r="C16" s="86">
        <f>'GTSE.co.uk'!C27+'GTSEGroup.com'!C27+'SSH UK'!C27+'SSH USA'!C27+'Epha.com'!C27</f>
        <v/>
      </c>
      <c r="D16" s="86">
        <f>'GTSE.co.uk'!D27+'GTSEGroup.com'!D27+'SSH UK'!D27+'SSH USA'!D27+'Epha.com'!D27</f>
        <v/>
      </c>
      <c r="E16" s="86">
        <f>'GTSE.co.uk'!E27+'GTSEGroup.com'!E27+'SSH UK'!E27+'SSH USA'!E27+'Epha.com'!E27</f>
        <v/>
      </c>
      <c r="F16" s="86">
        <f>'GTSE.co.uk'!F27+'GTSEGroup.com'!F27+'SSH UK'!F27+'SSH USA'!F27+'Epha.com'!F27</f>
        <v/>
      </c>
      <c r="G16" s="86">
        <f>'GTSE.co.uk'!G27+'GTSEGroup.com'!G27+'SSH UK'!G27+'SSH USA'!G27+'Epha.com'!G27</f>
        <v/>
      </c>
      <c r="H16" s="86">
        <f>'GTSE.co.uk'!H27+'GTSEGroup.com'!H27+'SSH UK'!H27+'SSH USA'!H27+'Epha.com'!H27</f>
        <v/>
      </c>
      <c r="I16" s="86">
        <f>'GTSE.co.uk'!I27+'GTSEGroup.com'!I27+'SSH UK'!I27+'SSH USA'!I27+'Epha.com'!I27</f>
        <v/>
      </c>
      <c r="J16" s="86">
        <f>'GTSE.co.uk'!J27+'GTSEGroup.com'!J27+'SSH UK'!J27+'SSH USA'!J27+'Epha.com'!J27</f>
        <v/>
      </c>
      <c r="K16" s="86">
        <f>'GTSE.co.uk'!K27+'GTSEGroup.com'!K27+'SSH UK'!K27+'SSH USA'!K27+'Epha.com'!K27</f>
        <v/>
      </c>
      <c r="L16" s="86">
        <f>'GTSE.co.uk'!L27+'GTSEGroup.com'!L27+'SSH UK'!L27+'SSH USA'!L27+'Epha.com'!L27</f>
        <v/>
      </c>
      <c r="M16" s="86">
        <f>'GTSE.co.uk'!M27+'GTSEGroup.com'!M27+'SSH UK'!M27+'SSH USA'!M27+'Epha.com'!M27</f>
        <v/>
      </c>
      <c r="N16" s="86">
        <f>'GTSE.co.uk'!N27+'GTSEGroup.com'!N27+'SSH UK'!N27+'SSH USA'!N27+'Epha.com'!N27</f>
        <v/>
      </c>
    </row>
    <row r="17" ht="15" customHeight="1" s="58">
      <c r="B17" s="83" t="inlineStr">
        <is>
          <t>Total Orders (All Sites)</t>
        </is>
      </c>
      <c r="C17" s="86">
        <f>'GTSE.co.uk'!C31+'GTSEGroup.com'!C31+'SSH UK'!C31+'SSH USA'!C31+'Epha.com'!C31</f>
        <v/>
      </c>
      <c r="D17" s="86">
        <f>'GTSE.co.uk'!D31+'GTSEGroup.com'!D31+'SSH UK'!D31+'SSH USA'!D31+'Epha.com'!D31</f>
        <v/>
      </c>
      <c r="E17" s="86">
        <f>'GTSE.co.uk'!E31+'GTSEGroup.com'!E31+'SSH UK'!E31+'SSH USA'!E31+'Epha.com'!E31</f>
        <v/>
      </c>
      <c r="F17" s="86">
        <f>'GTSE.co.uk'!F31+'GTSEGroup.com'!F31+'SSH UK'!F31+'SSH USA'!F31+'Epha.com'!F31</f>
        <v/>
      </c>
      <c r="G17" s="86">
        <f>'GTSE.co.uk'!G31+'GTSEGroup.com'!G31+'SSH UK'!G31+'SSH USA'!G31+'Epha.com'!G31</f>
        <v/>
      </c>
      <c r="H17" s="86">
        <f>'GTSE.co.uk'!H31+'GTSEGroup.com'!H31+'SSH UK'!H31+'SSH USA'!H31+'Epha.com'!H31</f>
        <v/>
      </c>
      <c r="I17" s="86">
        <f>'GTSE.co.uk'!I31+'GTSEGroup.com'!I31+'SSH UK'!I31+'SSH USA'!I31+'Epha.com'!I31</f>
        <v/>
      </c>
      <c r="J17" s="86">
        <f>'GTSE.co.uk'!J31+'GTSEGroup.com'!J31+'SSH UK'!J31+'SSH USA'!J31+'Epha.com'!J31</f>
        <v/>
      </c>
      <c r="K17" s="86">
        <f>'GTSE.co.uk'!K31+'GTSEGroup.com'!K31+'SSH UK'!K31+'SSH USA'!K31+'Epha.com'!K31</f>
        <v/>
      </c>
      <c r="L17" s="86">
        <f>'GTSE.co.uk'!L31+'GTSEGroup.com'!L31+'SSH UK'!L31+'SSH USA'!L31+'Epha.com'!L31</f>
        <v/>
      </c>
      <c r="M17" s="86">
        <f>'GTSE.co.uk'!M31+'GTSEGroup.com'!M31+'SSH UK'!M31+'SSH USA'!M31+'Epha.com'!M31</f>
        <v/>
      </c>
      <c r="N17" s="86">
        <f>'GTSE.co.uk'!N31+'GTSEGroup.com'!N31+'SSH UK'!N31+'SSH USA'!N31+'Epha.com'!N31</f>
        <v/>
      </c>
    </row>
    <row r="18" ht="15" customHeight="1" s="58">
      <c r="B18" s="83" t="inlineStr">
        <is>
          <t>Portfolio Conversion Rate</t>
        </is>
      </c>
      <c r="C18" s="88">
        <f>IFERROR(C17/C16,0)</f>
        <v/>
      </c>
      <c r="D18" s="88">
        <f>IFERROR(D17/D16,0)</f>
        <v/>
      </c>
      <c r="E18" s="88">
        <f>IFERROR(E17/E16,0)</f>
        <v/>
      </c>
      <c r="F18" s="88">
        <f>IFERROR(F17/F16,0)</f>
        <v/>
      </c>
      <c r="G18" s="88">
        <f>IFERROR(G17/G16,0)</f>
        <v/>
      </c>
      <c r="H18" s="88">
        <f>IFERROR(H17/H16,0)</f>
        <v/>
      </c>
      <c r="I18" s="88">
        <f>IFERROR(I17/I16,0)</f>
        <v/>
      </c>
      <c r="J18" s="88">
        <f>IFERROR(J17/J16,0)</f>
        <v/>
      </c>
      <c r="K18" s="88">
        <f>IFERROR(K17/K16,0)</f>
        <v/>
      </c>
      <c r="L18" s="88">
        <f>IFERROR(L17/L16,0)</f>
        <v/>
      </c>
      <c r="M18" s="88">
        <f>IFERROR(M17/M16,0)</f>
        <v/>
      </c>
      <c r="N18" s="88">
        <f>IFERROR(N17/N16,0)</f>
        <v/>
      </c>
    </row>
    <row r="20" ht="15" customHeight="1" s="58">
      <c r="B20" s="82" t="inlineStr">
        <is>
          <t>COSTS (All Sites)</t>
        </is>
      </c>
    </row>
    <row r="21" ht="15" customHeight="1" s="58">
      <c r="B21" s="83" t="inlineStr">
        <is>
          <t>Gross Profit (£)</t>
        </is>
      </c>
      <c r="C21" s="91">
        <f>'GTSE.co.uk'!C40+'GTSEGroup.com'!C40+'SSH UK'!C40+'SSH USA'!C40+'Epha.com'!C40</f>
        <v/>
      </c>
      <c r="D21" s="91">
        <f>'GTSE.co.uk'!D40+'GTSEGroup.com'!D40+'SSH UK'!D40+'SSH USA'!D40+'Epha.com'!D40</f>
        <v/>
      </c>
      <c r="E21" s="91">
        <f>'GTSE.co.uk'!E40+'GTSEGroup.com'!E40+'SSH UK'!E40+'SSH USA'!E40+'Epha.com'!E40</f>
        <v/>
      </c>
      <c r="F21" s="91">
        <f>'GTSE.co.uk'!F40+'GTSEGroup.com'!F40+'SSH UK'!F40+'SSH USA'!F40+'Epha.com'!F40</f>
        <v/>
      </c>
      <c r="G21" s="91">
        <f>'GTSE.co.uk'!G40+'GTSEGroup.com'!G40+'SSH UK'!G40+'SSH USA'!G40+'Epha.com'!G40</f>
        <v/>
      </c>
      <c r="H21" s="91">
        <f>'GTSE.co.uk'!H40+'GTSEGroup.com'!H40+'SSH UK'!H40+'SSH USA'!H40+'Epha.com'!H40</f>
        <v/>
      </c>
      <c r="I21" s="91">
        <f>'GTSE.co.uk'!I40+'GTSEGroup.com'!I40+'SSH UK'!I40+'SSH USA'!I40+'Epha.com'!I40</f>
        <v/>
      </c>
      <c r="J21" s="91">
        <f>'GTSE.co.uk'!J40+'GTSEGroup.com'!J40+'SSH UK'!J40+'SSH USA'!J40+'Epha.com'!J40</f>
        <v/>
      </c>
      <c r="K21" s="91">
        <f>'GTSE.co.uk'!K40+'GTSEGroup.com'!K40+'SSH UK'!K40+'SSH USA'!K40+'Epha.com'!K40</f>
        <v/>
      </c>
      <c r="L21" s="91">
        <f>'GTSE.co.uk'!L40+'GTSEGroup.com'!L40+'SSH UK'!L40+'SSH USA'!L40+'Epha.com'!L40</f>
        <v/>
      </c>
      <c r="M21" s="91">
        <f>'GTSE.co.uk'!M40+'GTSEGroup.com'!M40+'SSH UK'!M40+'SSH USA'!M40+'Epha.com'!M40</f>
        <v/>
      </c>
      <c r="N21" s="91">
        <f>'GTSE.co.uk'!N40+'GTSEGroup.com'!N40+'SSH UK'!N40+'SSH USA'!N40+'Epha.com'!N40</f>
        <v/>
      </c>
    </row>
    <row r="22" ht="15" customHeight="1" s="58">
      <c r="B22" s="83" t="inlineStr">
        <is>
          <t>Total Marketing (£)</t>
        </is>
      </c>
      <c r="C22" s="91">
        <f>'GTSE.co.uk'!C47+'GTSEGroup.com'!C47+'SSH UK'!C47+'SSH USA'!C47+'Epha.com'!C47</f>
        <v/>
      </c>
      <c r="D22" s="91">
        <f>'GTSE.co.uk'!D47+'GTSEGroup.com'!D47+'SSH UK'!D47+'SSH USA'!D47+'Epha.com'!D47</f>
        <v/>
      </c>
      <c r="E22" s="91">
        <f>'GTSE.co.uk'!E47+'GTSEGroup.com'!E47+'SSH UK'!E47+'SSH USA'!E47+'Epha.com'!E47</f>
        <v/>
      </c>
      <c r="F22" s="91">
        <f>'GTSE.co.uk'!F47+'GTSEGroup.com'!F47+'SSH UK'!F47+'SSH USA'!F47+'Epha.com'!F47</f>
        <v/>
      </c>
      <c r="G22" s="91">
        <f>'GTSE.co.uk'!G47+'GTSEGroup.com'!G47+'SSH UK'!G47+'SSH USA'!G47+'Epha.com'!G47</f>
        <v/>
      </c>
      <c r="H22" s="91">
        <f>'GTSE.co.uk'!H47+'GTSEGroup.com'!H47+'SSH UK'!H47+'SSH USA'!H47+'Epha.com'!H47</f>
        <v/>
      </c>
      <c r="I22" s="91">
        <f>'GTSE.co.uk'!I47+'GTSEGroup.com'!I47+'SSH UK'!I47+'SSH USA'!I47+'Epha.com'!I47</f>
        <v/>
      </c>
      <c r="J22" s="91">
        <f>'GTSE.co.uk'!J47+'GTSEGroup.com'!J47+'SSH UK'!J47+'SSH USA'!J47+'Epha.com'!J47</f>
        <v/>
      </c>
      <c r="K22" s="91">
        <f>'GTSE.co.uk'!K47+'GTSEGroup.com'!K47+'SSH UK'!K47+'SSH USA'!K47+'Epha.com'!K47</f>
        <v/>
      </c>
      <c r="L22" s="91">
        <f>'GTSE.co.uk'!L47+'GTSEGroup.com'!L47+'SSH UK'!L47+'SSH USA'!L47+'Epha.com'!L47</f>
        <v/>
      </c>
      <c r="M22" s="91">
        <f>'GTSE.co.uk'!M47+'GTSEGroup.com'!M47+'SSH UK'!M47+'SSH USA'!M47+'Epha.com'!M47</f>
        <v/>
      </c>
      <c r="N22" s="91">
        <f>'GTSE.co.uk'!N47+'GTSEGroup.com'!N47+'SSH UK'!N47+'SSH USA'!N47+'Epha.com'!N47</f>
        <v/>
      </c>
    </row>
    <row r="23" ht="15" customHeight="1" s="58">
      <c r="B23" s="83" t="inlineStr">
        <is>
          <t>Total Operational (£)</t>
        </is>
      </c>
      <c r="C23" s="91">
        <f>'GTSE.co.uk'!C54+'GTSEGroup.com'!C54+'SSH UK'!C54+'SSH USA'!C54+'Epha.com'!C54</f>
        <v/>
      </c>
      <c r="D23" s="91">
        <f>'GTSE.co.uk'!D54+'GTSEGroup.com'!D54+'SSH UK'!D54+'SSH USA'!D54+'Epha.com'!D54</f>
        <v/>
      </c>
      <c r="E23" s="91">
        <f>'GTSE.co.uk'!E54+'GTSEGroup.com'!E54+'SSH UK'!E54+'SSH USA'!E54+'Epha.com'!E54</f>
        <v/>
      </c>
      <c r="F23" s="91">
        <f>'GTSE.co.uk'!F54+'GTSEGroup.com'!F54+'SSH UK'!F54+'SSH USA'!F54+'Epha.com'!F54</f>
        <v/>
      </c>
      <c r="G23" s="91">
        <f>'GTSE.co.uk'!G54+'GTSEGroup.com'!G54+'SSH UK'!G54+'SSH USA'!G54+'Epha.com'!G54</f>
        <v/>
      </c>
      <c r="H23" s="91">
        <f>'GTSE.co.uk'!H54+'GTSEGroup.com'!H54+'SSH UK'!H54+'SSH USA'!H54+'Epha.com'!H54</f>
        <v/>
      </c>
      <c r="I23" s="91">
        <f>'GTSE.co.uk'!I54+'GTSEGroup.com'!I54+'SSH UK'!I54+'SSH USA'!I54+'Epha.com'!I54</f>
        <v/>
      </c>
      <c r="J23" s="91">
        <f>'GTSE.co.uk'!J54+'GTSEGroup.com'!J54+'SSH UK'!J54+'SSH USA'!J54+'Epha.com'!J54</f>
        <v/>
      </c>
      <c r="K23" s="91">
        <f>'GTSE.co.uk'!K54+'GTSEGroup.com'!K54+'SSH UK'!K54+'SSH USA'!K54+'Epha.com'!K54</f>
        <v/>
      </c>
      <c r="L23" s="91">
        <f>'GTSE.co.uk'!L54+'GTSEGroup.com'!L54+'SSH UK'!L54+'SSH USA'!L54+'Epha.com'!L54</f>
        <v/>
      </c>
      <c r="M23" s="91">
        <f>'GTSE.co.uk'!M54+'GTSEGroup.com'!M54+'SSH UK'!M54+'SSH USA'!M54+'Epha.com'!M54</f>
        <v/>
      </c>
      <c r="N23" s="91">
        <f>'GTSE.co.uk'!N54+'GTSEGroup.com'!N54+'SSH UK'!N54+'SSH USA'!N54+'Epha.com'!N54</f>
        <v/>
      </c>
    </row>
    <row r="25" ht="15" customHeight="1" s="58">
      <c r="B25" s="82" t="inlineStr">
        <is>
          <t>PROFITABILITY</t>
        </is>
      </c>
    </row>
    <row r="26" ht="15" customHeight="1" s="58">
      <c r="B26" s="70" t="inlineStr">
        <is>
          <t>TOTAL CONTRIBUTION (£)</t>
        </is>
      </c>
      <c r="C26" s="95">
        <f>'GTSE.co.uk'!C57+'GTSEGroup.com'!C57+'SSH UK'!C57+'SSH USA'!C57+'Epha.com'!C57</f>
        <v/>
      </c>
      <c r="D26" s="95">
        <f>'GTSE.co.uk'!D57+'GTSEGroup.com'!D57+'SSH UK'!D57+'SSH USA'!D57+'Epha.com'!D57</f>
        <v/>
      </c>
      <c r="E26" s="95">
        <f>'GTSE.co.uk'!E57+'GTSEGroup.com'!E57+'SSH UK'!E57+'SSH USA'!E57+'Epha.com'!E57</f>
        <v/>
      </c>
      <c r="F26" s="95">
        <f>'GTSE.co.uk'!F57+'GTSEGroup.com'!F57+'SSH UK'!F57+'SSH USA'!F57+'Epha.com'!F57</f>
        <v/>
      </c>
      <c r="G26" s="95">
        <f>'GTSE.co.uk'!G57+'GTSEGroup.com'!G57+'SSH UK'!G57+'SSH USA'!G57+'Epha.com'!G57</f>
        <v/>
      </c>
      <c r="H26" s="95">
        <f>'GTSE.co.uk'!H57+'GTSEGroup.com'!H57+'SSH UK'!H57+'SSH USA'!H57+'Epha.com'!H57</f>
        <v/>
      </c>
      <c r="I26" s="95">
        <f>'GTSE.co.uk'!I57+'GTSEGroup.com'!I57+'SSH UK'!I57+'SSH USA'!I57+'Epha.com'!I57</f>
        <v/>
      </c>
      <c r="J26" s="95">
        <f>'GTSE.co.uk'!J57+'GTSEGroup.com'!J57+'SSH UK'!J57+'SSH USA'!J57+'Epha.com'!J57</f>
        <v/>
      </c>
      <c r="K26" s="95">
        <f>'GTSE.co.uk'!K57+'GTSEGroup.com'!K57+'SSH UK'!K57+'SSH USA'!K57+'Epha.com'!K57</f>
        <v/>
      </c>
      <c r="L26" s="95">
        <f>'GTSE.co.uk'!L57+'GTSEGroup.com'!L57+'SSH UK'!L57+'SSH USA'!L57+'Epha.com'!L57</f>
        <v/>
      </c>
      <c r="M26" s="95">
        <f>'GTSE.co.uk'!M57+'GTSEGroup.com'!M57+'SSH UK'!M57+'SSH USA'!M57+'Epha.com'!M57</f>
        <v/>
      </c>
      <c r="N26" s="95">
        <f>'GTSE.co.uk'!N57+'GTSEGroup.com'!N57+'SSH UK'!N57+'SSH USA'!N57+'Epha.com'!N57</f>
        <v/>
      </c>
    </row>
    <row r="27" ht="15" customHeight="1" s="58">
      <c r="B27" s="83" t="inlineStr">
        <is>
          <t>Cumulative Contribution (£)</t>
        </is>
      </c>
      <c r="C27" s="91">
        <f>C26</f>
        <v/>
      </c>
      <c r="D27" s="91">
        <f>C27+D26</f>
        <v/>
      </c>
      <c r="E27" s="91">
        <f>D27+E26</f>
        <v/>
      </c>
      <c r="F27" s="91">
        <f>E27+F26</f>
        <v/>
      </c>
      <c r="G27" s="91">
        <f>F27+G26</f>
        <v/>
      </c>
      <c r="H27" s="91">
        <f>G27+H26</f>
        <v/>
      </c>
      <c r="I27" s="91">
        <f>H27+I26</f>
        <v/>
      </c>
      <c r="J27" s="91">
        <f>I27+J26</f>
        <v/>
      </c>
      <c r="K27" s="91">
        <f>J27+K26</f>
        <v/>
      </c>
      <c r="L27" s="91">
        <f>K27+L26</f>
        <v/>
      </c>
      <c r="M27" s="91">
        <f>L27+M26</f>
        <v/>
      </c>
      <c r="N27" s="91">
        <f>M27+N26</f>
        <v/>
      </c>
    </row>
    <row r="29" ht="15" customHeight="1" s="58">
      <c r="B29" s="82" t="inlineStr">
        <is>
          <t>PORTFOLIO KPIs</t>
        </is>
      </c>
    </row>
    <row r="30" ht="15" customHeight="1" s="58">
      <c r="B30" s="83" t="inlineStr">
        <is>
          <t>Portfolio ROAS</t>
        </is>
      </c>
      <c r="C30" s="96">
        <f>IFERROR(C13/ABS(C22),0)</f>
        <v/>
      </c>
      <c r="D30" s="96">
        <f>IFERROR(D13/ABS(D22),0)</f>
        <v/>
      </c>
      <c r="E30" s="96">
        <f>IFERROR(E13/ABS(E22),0)</f>
        <v/>
      </c>
      <c r="F30" s="96">
        <f>IFERROR(F13/ABS(F22),0)</f>
        <v/>
      </c>
      <c r="G30" s="96">
        <f>IFERROR(G13/ABS(G22),0)</f>
        <v/>
      </c>
      <c r="H30" s="96">
        <f>IFERROR(H13/ABS(H22),0)</f>
        <v/>
      </c>
      <c r="I30" s="96">
        <f>IFERROR(I13/ABS(I22),0)</f>
        <v/>
      </c>
      <c r="J30" s="96">
        <f>IFERROR(J13/ABS(J22),0)</f>
        <v/>
      </c>
      <c r="K30" s="96">
        <f>IFERROR(K13/ABS(K22),0)</f>
        <v/>
      </c>
      <c r="L30" s="96">
        <f>IFERROR(L13/ABS(L22),0)</f>
        <v/>
      </c>
      <c r="M30" s="96">
        <f>IFERROR(M13/ABS(M22),0)</f>
        <v/>
      </c>
      <c r="N30" s="96">
        <f>IFERROR(N13/ABS(N22),0)</f>
        <v/>
      </c>
    </row>
    <row r="31" ht="15" customHeight="1" s="58">
      <c r="B31" s="83" t="inlineStr">
        <is>
          <t>Portfolio CAC (£)</t>
        </is>
      </c>
      <c r="C31" s="89">
        <f>IFERROR(ABS(C22)/C17,0)</f>
        <v/>
      </c>
      <c r="D31" s="89">
        <f>IFERROR(ABS(D22)/D17,0)</f>
        <v/>
      </c>
      <c r="E31" s="89">
        <f>IFERROR(ABS(E22)/E17,0)</f>
        <v/>
      </c>
      <c r="F31" s="89">
        <f>IFERROR(ABS(F22)/F17,0)</f>
        <v/>
      </c>
      <c r="G31" s="89">
        <f>IFERROR(ABS(G22)/G17,0)</f>
        <v/>
      </c>
      <c r="H31" s="89">
        <f>IFERROR(ABS(H22)/H17,0)</f>
        <v/>
      </c>
      <c r="I31" s="89">
        <f>IFERROR(ABS(I22)/I17,0)</f>
        <v/>
      </c>
      <c r="J31" s="89">
        <f>IFERROR(ABS(J22)/J17,0)</f>
        <v/>
      </c>
      <c r="K31" s="89">
        <f>IFERROR(ABS(K22)/K17,0)</f>
        <v/>
      </c>
      <c r="L31" s="89">
        <f>IFERROR(ABS(L22)/L17,0)</f>
        <v/>
      </c>
      <c r="M31" s="89">
        <f>IFERROR(ABS(M22)/M17,0)</f>
        <v/>
      </c>
      <c r="N31" s="89">
        <f>IFERROR(ABS(N22)/N17,0)</f>
        <v/>
      </c>
    </row>
    <row r="32" ht="15" customHeight="1" s="58">
      <c r="B32" s="83" t="inlineStr">
        <is>
          <t>Revenue per Visitor (£)</t>
        </is>
      </c>
      <c r="C32" s="89">
        <f>IFERROR(C13/C16,0)</f>
        <v/>
      </c>
      <c r="D32" s="89">
        <f>IFERROR(D13/D16,0)</f>
        <v/>
      </c>
      <c r="E32" s="89">
        <f>IFERROR(E13/E16,0)</f>
        <v/>
      </c>
      <c r="F32" s="89">
        <f>IFERROR(F13/F16,0)</f>
        <v/>
      </c>
      <c r="G32" s="89">
        <f>IFERROR(G13/G16,0)</f>
        <v/>
      </c>
      <c r="H32" s="89">
        <f>IFERROR(H13/H16,0)</f>
        <v/>
      </c>
      <c r="I32" s="89">
        <f>IFERROR(I13/I16,0)</f>
        <v/>
      </c>
      <c r="J32" s="89">
        <f>IFERROR(J13/J16,0)</f>
        <v/>
      </c>
      <c r="K32" s="89">
        <f>IFERROR(K13/K16,0)</f>
        <v/>
      </c>
      <c r="L32" s="89">
        <f>IFERROR(L13/L16,0)</f>
        <v/>
      </c>
      <c r="M32" s="89">
        <f>IFERROR(M13/M16,0)</f>
        <v/>
      </c>
      <c r="N32" s="89">
        <f>IFERROR(N13/N16,0)</f>
        <v/>
      </c>
    </row>
    <row r="34" ht="15" customHeight="1" s="58">
      <c r="B34" s="82" t="inlineStr">
        <is>
          <t>12-MONTH TOTALS</t>
        </is>
      </c>
    </row>
    <row r="35" ht="15" customHeight="1" s="58">
      <c r="B35" s="83" t="inlineStr">
        <is>
          <t>Total Revenue</t>
        </is>
      </c>
      <c r="C35" s="98">
        <f>SUM(C13:N13)</f>
        <v/>
      </c>
    </row>
    <row r="36" ht="15" customHeight="1" s="58">
      <c r="B36" s="83" t="inlineStr">
        <is>
          <t>Total Orders</t>
        </is>
      </c>
      <c r="C36" s="99">
        <f>SUM(C17:N17)</f>
        <v/>
      </c>
    </row>
    <row r="37" ht="15" customHeight="1" s="58">
      <c r="B37" s="83" t="inlineStr">
        <is>
          <t>Total Gross Profit</t>
        </is>
      </c>
      <c r="C37" s="98">
        <f>SUM(C21:N21)</f>
        <v/>
      </c>
    </row>
    <row r="38" ht="15" customHeight="1" s="58">
      <c r="B38" s="83" t="inlineStr">
        <is>
          <t>Total Marketing Spend</t>
        </is>
      </c>
      <c r="C38" s="98">
        <f>SUM(C22:N22)</f>
        <v/>
      </c>
    </row>
    <row r="39" ht="15" customHeight="1" s="58">
      <c r="B39" s="83" t="inlineStr">
        <is>
          <t>Total Contribution</t>
        </is>
      </c>
      <c r="C39" s="98">
        <f>SUM(C26:N26)</f>
        <v/>
      </c>
    </row>
  </sheetData>
  <mergeCells count="1">
    <mergeCell ref="B2:N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I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7" min="1" max="1"/>
    <col width="25" customWidth="1" style="57" min="2" max="2"/>
    <col width="20" customWidth="1" style="57" min="3" max="3"/>
    <col width="15" customWidth="1" style="57" min="4" max="8"/>
    <col width="40" customWidth="1" style="57" min="9" max="9"/>
  </cols>
  <sheetData>
    <row r="2" ht="34.5" customHeight="1" s="58">
      <c r="B2" s="72" t="inlineStr">
        <is>
          <t>OPERATIONAL PLAN &amp; TEAM STRUCTURE</t>
        </is>
      </c>
    </row>
    <row r="3" ht="15" customHeight="1" s="58">
      <c r="B3" s="73" t="inlineStr">
        <is>
          <t>Resource Planning, Responsibilities, and Key Milestones</t>
        </is>
      </c>
    </row>
    <row r="5" ht="24.75" customHeight="1" s="58">
      <c r="B5" s="74" t="inlineStr">
        <is>
          <t>TEAM STRUCTURE &amp; RESPONSIBILITIES</t>
        </is>
      </c>
    </row>
    <row r="7" ht="15" customHeight="1" s="58">
      <c r="B7" s="100" t="inlineStr">
        <is>
          <t>Role</t>
        </is>
      </c>
      <c r="C7" s="100" t="inlineStr">
        <is>
          <t>FTE</t>
        </is>
      </c>
      <c r="D7" s="100" t="inlineStr">
        <is>
          <t>Monthly Cost</t>
        </is>
      </c>
      <c r="E7" s="100" t="inlineStr">
        <is>
          <t>M1-3</t>
        </is>
      </c>
      <c r="F7" s="100" t="inlineStr">
        <is>
          <t>M4-6</t>
        </is>
      </c>
      <c r="G7" s="100" t="inlineStr">
        <is>
          <t>M7-9</t>
        </is>
      </c>
      <c r="H7" s="100" t="inlineStr">
        <is>
          <t>M10-12</t>
        </is>
      </c>
      <c r="I7" s="100" t="inlineStr">
        <is>
          <t>Key Responsibilities</t>
        </is>
      </c>
    </row>
    <row r="8" ht="15" customHeight="1" s="58">
      <c r="B8" s="76" t="inlineStr">
        <is>
          <t>E-commerce Manager</t>
        </is>
      </c>
      <c r="C8" s="77" t="n">
        <v>1</v>
      </c>
      <c r="D8" s="101" t="n">
        <v>4500</v>
      </c>
      <c r="E8" s="77" t="n">
        <v>1</v>
      </c>
      <c r="F8" s="77" t="n">
        <v>1</v>
      </c>
      <c r="G8" s="77" t="n">
        <v>1</v>
      </c>
      <c r="H8" s="77" t="n">
        <v>1</v>
      </c>
      <c r="I8" s="102" t="inlineStr">
        <is>
          <t>Strategy, P&amp;L, team leadership, vendor management</t>
        </is>
      </c>
    </row>
    <row r="9" ht="15" customHeight="1" s="58">
      <c r="B9" s="76" t="inlineStr">
        <is>
          <t>Digital Marketing Manager</t>
        </is>
      </c>
      <c r="C9" s="77" t="n">
        <v>1</v>
      </c>
      <c r="D9" s="101" t="n">
        <v>3800</v>
      </c>
      <c r="E9" s="77" t="n">
        <v>1</v>
      </c>
      <c r="F9" s="77" t="n">
        <v>1</v>
      </c>
      <c r="G9" s="77" t="n">
        <v>1</v>
      </c>
      <c r="H9" s="77" t="n">
        <v>1</v>
      </c>
      <c r="I9" s="102" t="inlineStr">
        <is>
          <t>Paid campaigns, SEO, email, analytics, ROAS optimization</t>
        </is>
      </c>
    </row>
    <row r="10" ht="15" customHeight="1" s="58">
      <c r="B10" s="76" t="inlineStr">
        <is>
          <t>Content Manager</t>
        </is>
      </c>
      <c r="C10" s="77" t="n">
        <v>1</v>
      </c>
      <c r="D10" s="101" t="n">
        <v>3200</v>
      </c>
      <c r="E10" s="77" t="n">
        <v>0.5</v>
      </c>
      <c r="F10" s="77" t="n">
        <v>1</v>
      </c>
      <c r="G10" s="77" t="n">
        <v>1</v>
      </c>
      <c r="H10" s="77" t="n">
        <v>1</v>
      </c>
      <c r="I10" s="102" t="inlineStr">
        <is>
          <t>Product content, blog, social, brand voice</t>
        </is>
      </c>
    </row>
    <row r="11" ht="15" customHeight="1" s="58">
      <c r="B11" s="76" t="inlineStr">
        <is>
          <t>Web Developer</t>
        </is>
      </c>
      <c r="C11" s="77" t="n">
        <v>1</v>
      </c>
      <c r="D11" s="101" t="n">
        <v>4000</v>
      </c>
      <c r="E11" s="77" t="n">
        <v>1</v>
      </c>
      <c r="F11" s="77" t="n">
        <v>1</v>
      </c>
      <c r="G11" s="77" t="n">
        <v>1</v>
      </c>
      <c r="H11" s="77" t="n">
        <v>1</v>
      </c>
      <c r="I11" s="102" t="inlineStr">
        <is>
          <t>Site maintenance, CRO, technical SEO, integrations</t>
        </is>
      </c>
    </row>
    <row r="12" ht="15" customHeight="1" s="58">
      <c r="B12" s="76" t="inlineStr">
        <is>
          <t>Customer Service Lead</t>
        </is>
      </c>
      <c r="C12" s="77" t="n">
        <v>1</v>
      </c>
      <c r="D12" s="101" t="n">
        <v>2800</v>
      </c>
      <c r="E12" s="77" t="n">
        <v>0.5</v>
      </c>
      <c r="F12" s="77" t="n">
        <v>0.5</v>
      </c>
      <c r="G12" s="77" t="n">
        <v>1</v>
      </c>
      <c r="H12" s="77" t="n">
        <v>1</v>
      </c>
      <c r="I12" s="102" t="inlineStr">
        <is>
          <t>Support team, returns, customer satisfaction</t>
        </is>
      </c>
    </row>
    <row r="13" ht="15" customHeight="1" s="58">
      <c r="B13" s="76" t="inlineStr">
        <is>
          <t>Customer Service Rep</t>
        </is>
      </c>
      <c r="C13" s="77" t="n">
        <v>1</v>
      </c>
      <c r="D13" s="101" t="n">
        <v>2200</v>
      </c>
      <c r="E13" s="77" t="n">
        <v>0</v>
      </c>
      <c r="F13" s="77" t="n">
        <v>0.5</v>
      </c>
      <c r="G13" s="77" t="n">
        <v>1</v>
      </c>
      <c r="H13" s="77" t="n">
        <v>1</v>
      </c>
      <c r="I13" s="102" t="inlineStr">
        <is>
          <t>Order support, inquiries, live chat</t>
        </is>
      </c>
    </row>
    <row r="14" ht="15" customHeight="1" s="58">
      <c r="B14" s="76" t="inlineStr">
        <is>
          <t>PPC Specialist</t>
        </is>
      </c>
      <c r="C14" s="77" t="n">
        <v>0.5</v>
      </c>
      <c r="D14" s="101" t="n">
        <v>2500</v>
      </c>
      <c r="E14" s="77" t="n">
        <v>0</v>
      </c>
      <c r="F14" s="77" t="n">
        <v>0.5</v>
      </c>
      <c r="G14" s="77" t="n">
        <v>0.5</v>
      </c>
      <c r="H14" s="77" t="n">
        <v>0.5</v>
      </c>
      <c r="I14" s="102" t="inlineStr">
        <is>
          <t>Google Ads, Meta Ads, campaign optimization</t>
        </is>
      </c>
    </row>
    <row r="15" ht="15" customHeight="1" s="58">
      <c r="B15" s="76" t="inlineStr">
        <is>
          <t>SEO Specialist</t>
        </is>
      </c>
      <c r="C15" s="77" t="n">
        <v>0.5</v>
      </c>
      <c r="D15" s="101" t="n">
        <v>2200</v>
      </c>
      <c r="E15" s="77" t="n">
        <v>0.5</v>
      </c>
      <c r="F15" s="77" t="n">
        <v>0.5</v>
      </c>
      <c r="G15" s="77" t="n">
        <v>0.5</v>
      </c>
      <c r="H15" s="77" t="n">
        <v>0.5</v>
      </c>
      <c r="I15" s="102" t="inlineStr">
        <is>
          <t>Technical SEO, link building, content strategy</t>
        </is>
      </c>
    </row>
    <row r="16" ht="15" customHeight="1" s="58">
      <c r="B16" s="76" t="inlineStr">
        <is>
          <t>Data Analyst</t>
        </is>
      </c>
      <c r="C16" s="77" t="n">
        <v>0.5</v>
      </c>
      <c r="D16" s="101" t="n">
        <v>2800</v>
      </c>
      <c r="E16" s="77" t="n">
        <v>0</v>
      </c>
      <c r="F16" s="77" t="n">
        <v>0</v>
      </c>
      <c r="G16" s="77" t="n">
        <v>0.5</v>
      </c>
      <c r="H16" s="77" t="n">
        <v>0.5</v>
      </c>
      <c r="I16" s="102" t="inlineStr">
        <is>
          <t>Reporting, insights, forecasting, dashboarding</t>
        </is>
      </c>
    </row>
    <row r="17" ht="15" customHeight="1" s="58">
      <c r="B17" s="103" t="inlineStr">
        <is>
          <t>Total Team Cost (Monthly)</t>
        </is>
      </c>
      <c r="D17" s="104">
        <f>SUM(D8:D16)</f>
        <v/>
      </c>
    </row>
    <row r="20" ht="24.75" customHeight="1" s="58">
      <c r="B20" s="74" t="inlineStr">
        <is>
          <t>KEY MILESTONES &amp; TIMELINE</t>
        </is>
      </c>
    </row>
    <row r="22" ht="15" customHeight="1" s="58">
      <c r="B22" s="100" t="inlineStr">
        <is>
          <t>Phase</t>
        </is>
      </c>
      <c r="C22" s="100" t="inlineStr">
        <is>
          <t>Timeline</t>
        </is>
      </c>
      <c r="D22" s="100" t="inlineStr">
        <is>
          <t>Key Activities</t>
        </is>
      </c>
      <c r="E22" s="100" t="inlineStr">
        <is>
          <t>Success Metrics</t>
        </is>
      </c>
      <c r="F22" s="100" t="inlineStr">
        <is>
          <t>Owner</t>
        </is>
      </c>
    </row>
    <row r="23" ht="79.5" customHeight="1" s="58">
      <c r="B23" s="76" t="inlineStr">
        <is>
          <t>Phase 1: Foundation</t>
        </is>
      </c>
      <c r="C23" s="105" t="inlineStr">
        <is>
          <t>M1-M3</t>
        </is>
      </c>
      <c r="D23" s="106" t="inlineStr">
        <is>
          <t>• Site audits &amp; technical fixes
• Analytics setup &amp; tracking
• Initial content optimization
• PPC campaign launch
• Team onboarding</t>
        </is>
      </c>
      <c r="E23" s="106" t="inlineStr">
        <is>
          <t>• All sites tracking correctly
• 0 major technical issues
• First campaigns live
• Team fully operational</t>
        </is>
      </c>
      <c r="F23" s="105" t="inlineStr">
        <is>
          <t>E-commerce Manager</t>
        </is>
      </c>
    </row>
    <row r="24" ht="79.5" customHeight="1" s="58">
      <c r="B24" s="76" t="inlineStr">
        <is>
          <t>Phase 2: Growth</t>
        </is>
      </c>
      <c r="C24" s="105" t="inlineStr">
        <is>
          <t>M4-M6</t>
        </is>
      </c>
      <c r="D24" s="106" t="inlineStr">
        <is>
          <t>• Scale winning campaigns
• SEO content expansion
• Email automation setup
• CRO testing program
• Review generation</t>
        </is>
      </c>
      <c r="E24" s="106" t="inlineStr">
        <is>
          <t>• ROAS &gt;2.5x
• Organic traffic +50%
• Email list 1000+
• Conv rate +0.5%</t>
        </is>
      </c>
      <c r="F24" s="105" t="inlineStr">
        <is>
          <t>Digital Marketing Manager</t>
        </is>
      </c>
    </row>
    <row r="25" ht="79.5" customHeight="1" s="58">
      <c r="B25" s="76" t="inlineStr">
        <is>
          <t>Phase 3: Optimization</t>
        </is>
      </c>
      <c r="C25" s="105" t="inlineStr">
        <is>
          <t>M7-M9</t>
        </is>
      </c>
      <c r="D25" s="106" t="inlineStr">
        <is>
          <t>• Advanced segmentation
• Personalization rollout
• Retargeting expansion
• Affiliate program launch
• International expansion</t>
        </is>
      </c>
      <c r="E25" s="106" t="inlineStr">
        <is>
          <t>• ROAS &gt;3.5x
• CAC &lt;£25
• Repeat rate &gt;20%
• 3 sites profitable</t>
        </is>
      </c>
      <c r="F25" s="105" t="inlineStr">
        <is>
          <t>E-commerce Manager</t>
        </is>
      </c>
    </row>
    <row r="26" ht="79.5" customHeight="1" s="58">
      <c r="B26" s="76" t="inlineStr">
        <is>
          <t>Phase 4: Scale</t>
        </is>
      </c>
      <c r="C26" s="105" t="inlineStr">
        <is>
          <t>M10-M12</t>
        </is>
      </c>
      <c r="D26" s="106" t="inlineStr">
        <is>
          <t>• Full budget deployment
• New market testing
• Product expansion
• Automation at scale
• Annual planning</t>
        </is>
      </c>
      <c r="E26" s="106" t="inlineStr">
        <is>
          <t>• Portfolio ROAS &gt;4x
• All sites profitable
• £200K+ monthly revenue
• 15%+ net margin</t>
        </is>
      </c>
      <c r="F26" s="105" t="inlineStr">
        <is>
          <t>E-commerce Manager</t>
        </is>
      </c>
    </row>
    <row r="29" ht="24.75" customHeight="1" s="58">
      <c r="B29" s="74" t="inlineStr">
        <is>
          <t>MARKETING CHANNEL STRATEGY BY SITE</t>
        </is>
      </c>
    </row>
    <row r="31" ht="15" customHeight="1" s="58">
      <c r="B31" s="100" t="inlineStr">
        <is>
          <t>Site</t>
        </is>
      </c>
      <c r="C31" s="100" t="inlineStr">
        <is>
          <t>Primary Channels</t>
        </is>
      </c>
      <c r="D31" s="100" t="inlineStr">
        <is>
          <t>Secondary Channels</t>
        </is>
      </c>
      <c r="E31" s="100" t="inlineStr">
        <is>
          <t>Budget Split</t>
        </is>
      </c>
      <c r="F31" s="100" t="inlineStr">
        <is>
          <t>Focus</t>
        </is>
      </c>
    </row>
    <row r="32" ht="15" customHeight="1" s="58">
      <c r="B32" s="76" t="inlineStr">
        <is>
          <t>GTSE.co.uk</t>
        </is>
      </c>
      <c r="C32" s="107" t="inlineStr">
        <is>
          <t>Google Ads (Search), SEO</t>
        </is>
      </c>
      <c r="D32" s="107" t="inlineStr">
        <is>
          <t>Email, LinkedIn</t>
        </is>
      </c>
      <c r="E32" s="107" t="inlineStr">
        <is>
          <t>60% Paid, 40% Organic</t>
        </is>
      </c>
      <c r="F32" s="107" t="inlineStr">
        <is>
          <t>B2B lead quality</t>
        </is>
      </c>
    </row>
    <row r="33" ht="15" customHeight="1" s="58">
      <c r="B33" s="76" t="inlineStr">
        <is>
          <t>GTSEGroup.com</t>
        </is>
      </c>
      <c r="C33" s="107" t="inlineStr">
        <is>
          <t>LinkedIn, Content Marketing</t>
        </is>
      </c>
      <c r="D33" s="107" t="inlineStr">
        <is>
          <t>SEO, Email</t>
        </is>
      </c>
      <c r="E33" s="107" t="inlineStr">
        <is>
          <t>40% Paid, 60% Organic</t>
        </is>
      </c>
      <c r="F33" s="107" t="inlineStr">
        <is>
          <t>Brand awareness</t>
        </is>
      </c>
    </row>
    <row r="34" ht="15" customHeight="1" s="58">
      <c r="B34" s="76" t="inlineStr">
        <is>
          <t>SSH UK</t>
        </is>
      </c>
      <c r="C34" s="107" t="inlineStr">
        <is>
          <t>Google Ads, Facebook</t>
        </is>
      </c>
      <c r="D34" s="107" t="inlineStr">
        <is>
          <t>SEO, Email</t>
        </is>
      </c>
      <c r="E34" s="107" t="inlineStr">
        <is>
          <t>70% Paid, 30% Organic</t>
        </is>
      </c>
      <c r="F34" s="107" t="inlineStr">
        <is>
          <t>Volume &amp; speed</t>
        </is>
      </c>
    </row>
    <row r="35" ht="15" customHeight="1" s="58">
      <c r="B35" s="76" t="inlineStr">
        <is>
          <t>SSH USA</t>
        </is>
      </c>
      <c r="C35" s="107" t="inlineStr">
        <is>
          <t>Google Ads, Facebook, Amazon</t>
        </is>
      </c>
      <c r="D35" s="107" t="inlineStr">
        <is>
          <t>SEO, Influencers</t>
        </is>
      </c>
      <c r="E35" s="107" t="inlineStr">
        <is>
          <t>75% Paid, 25% Organic</t>
        </is>
      </c>
      <c r="F35" s="107" t="inlineStr">
        <is>
          <t>Market penetration</t>
        </is>
      </c>
    </row>
    <row r="36" ht="15" customHeight="1" s="58">
      <c r="B36" s="76" t="inlineStr">
        <is>
          <t>Epha.com</t>
        </is>
      </c>
      <c r="C36" s="107" t="inlineStr">
        <is>
          <t>Content, SEO, PR</t>
        </is>
      </c>
      <c r="D36" s="107" t="inlineStr">
        <is>
          <t>LinkedIn, Email</t>
        </is>
      </c>
      <c r="E36" s="107" t="inlineStr">
        <is>
          <t>30% Paid, 70% Organic</t>
        </is>
      </c>
      <c r="F36" s="107" t="inlineStr">
        <is>
          <t>Premium positioning</t>
        </is>
      </c>
    </row>
    <row r="39" ht="24.75" customHeight="1" s="58">
      <c r="B39" s="74" t="inlineStr">
        <is>
          <t>REQUIRED TOOLS &amp; SOFTWARE</t>
        </is>
      </c>
    </row>
    <row r="41" ht="15" customHeight="1" s="58">
      <c r="B41" s="75" t="inlineStr">
        <is>
          <t>Category</t>
        </is>
      </c>
      <c r="C41" s="75" t="inlineStr">
        <is>
          <t>Tool</t>
        </is>
      </c>
      <c r="D41" s="75" t="inlineStr">
        <is>
          <t>Monthly Cost</t>
        </is>
      </c>
      <c r="E41" s="75" t="inlineStr">
        <is>
          <t>Purpose</t>
        </is>
      </c>
      <c r="F41" s="75" t="inlineStr">
        <is>
          <t>Sites</t>
        </is>
      </c>
    </row>
    <row r="42" ht="15" customHeight="1" s="58">
      <c r="B42" s="105" t="inlineStr">
        <is>
          <t>Analytics</t>
        </is>
      </c>
      <c r="C42" s="76" t="inlineStr">
        <is>
          <t>Google Analytics 4 + Data Studio</t>
        </is>
      </c>
      <c r="D42" s="101" t="n">
        <v>0</v>
      </c>
      <c r="E42" s="107" t="inlineStr">
        <is>
          <t>Traffic &amp; conversion tracking</t>
        </is>
      </c>
      <c r="F42" s="107" t="inlineStr">
        <is>
          <t>All</t>
        </is>
      </c>
    </row>
    <row r="43" ht="15" customHeight="1" s="58">
      <c r="B43" s="105" t="inlineStr">
        <is>
          <t>Analytics</t>
        </is>
      </c>
      <c r="C43" s="76" t="inlineStr">
        <is>
          <t>Hotjar</t>
        </is>
      </c>
      <c r="D43" s="101" t="n">
        <v>99</v>
      </c>
      <c r="E43" s="107" t="inlineStr">
        <is>
          <t>Heatmaps &amp; session recordings</t>
        </is>
      </c>
      <c r="F43" s="107" t="inlineStr">
        <is>
          <t>All</t>
        </is>
      </c>
    </row>
    <row r="44" ht="15" customHeight="1" s="58">
      <c r="B44" s="105" t="inlineStr">
        <is>
          <t>Email</t>
        </is>
      </c>
      <c r="C44" s="76" t="inlineStr">
        <is>
          <t>Klaviyo</t>
        </is>
      </c>
      <c r="D44" s="101" t="n">
        <v>300</v>
      </c>
      <c r="E44" s="107" t="inlineStr">
        <is>
          <t>Email marketing automation</t>
        </is>
      </c>
      <c r="F44" s="107" t="inlineStr">
        <is>
          <t>All</t>
        </is>
      </c>
    </row>
    <row r="45" ht="15" customHeight="1" s="58">
      <c r="B45" s="105" t="inlineStr">
        <is>
          <t>SEO</t>
        </is>
      </c>
      <c r="C45" s="76" t="inlineStr">
        <is>
          <t>SEMrush</t>
        </is>
      </c>
      <c r="D45" s="101" t="n">
        <v>200</v>
      </c>
      <c r="E45" s="107" t="inlineStr">
        <is>
          <t>Keyword research &amp; tracking</t>
        </is>
      </c>
      <c r="F45" s="107" t="inlineStr">
        <is>
          <t>All</t>
        </is>
      </c>
    </row>
    <row r="46" ht="15" customHeight="1" s="58">
      <c r="B46" s="105" t="inlineStr">
        <is>
          <t>SEO</t>
        </is>
      </c>
      <c r="C46" s="76" t="inlineStr">
        <is>
          <t>Ahrefs</t>
        </is>
      </c>
      <c r="D46" s="101" t="n">
        <v>200</v>
      </c>
      <c r="E46" s="107" t="inlineStr">
        <is>
          <t>Backlink analysis</t>
        </is>
      </c>
      <c r="F46" s="107" t="inlineStr">
        <is>
          <t>All</t>
        </is>
      </c>
    </row>
    <row r="47" ht="15" customHeight="1" s="58">
      <c r="B47" s="105" t="inlineStr">
        <is>
          <t>PPC</t>
        </is>
      </c>
      <c r="C47" s="76" t="inlineStr">
        <is>
          <t>Optmyzr</t>
        </is>
      </c>
      <c r="D47" s="101" t="n">
        <v>250</v>
      </c>
      <c r="E47" s="107" t="inlineStr">
        <is>
          <t>PPC optimization</t>
        </is>
      </c>
      <c r="F47" s="107" t="inlineStr">
        <is>
          <t>SSH sites</t>
        </is>
      </c>
    </row>
    <row r="48" ht="15" customHeight="1" s="58">
      <c r="B48" s="105" t="inlineStr">
        <is>
          <t>CRO</t>
        </is>
      </c>
      <c r="C48" s="76" t="inlineStr">
        <is>
          <t>VWO</t>
        </is>
      </c>
      <c r="D48" s="101" t="n">
        <v>150</v>
      </c>
      <c r="E48" s="107" t="inlineStr">
        <is>
          <t>A/B testing platform</t>
        </is>
      </c>
      <c r="F48" s="107" t="inlineStr">
        <is>
          <t>GTSE.co.uk, SSH</t>
        </is>
      </c>
    </row>
    <row r="49" ht="15" customHeight="1" s="58">
      <c r="B49" s="105" t="inlineStr">
        <is>
          <t>Reviews</t>
        </is>
      </c>
      <c r="C49" s="76" t="inlineStr">
        <is>
          <t>Trustpilot</t>
        </is>
      </c>
      <c r="D49" s="101" t="n">
        <v>200</v>
      </c>
      <c r="E49" s="107" t="inlineStr">
        <is>
          <t>Review collection</t>
        </is>
      </c>
      <c r="F49" s="107" t="inlineStr">
        <is>
          <t>SSH UK, SSH USA</t>
        </is>
      </c>
    </row>
    <row r="50" ht="15" customHeight="1" s="58">
      <c r="B50" s="105" t="inlineStr">
        <is>
          <t>Inventory</t>
        </is>
      </c>
      <c r="C50" s="76" t="inlineStr">
        <is>
          <t>Linnworks</t>
        </is>
      </c>
      <c r="D50" s="101" t="n">
        <v>300</v>
      </c>
      <c r="E50" s="107" t="inlineStr">
        <is>
          <t>Inventory management</t>
        </is>
      </c>
      <c r="F50" s="107" t="inlineStr">
        <is>
          <t>All</t>
        </is>
      </c>
    </row>
    <row r="51" ht="15" customHeight="1" s="58">
      <c r="B51" s="105" t="inlineStr">
        <is>
          <t>Support</t>
        </is>
      </c>
      <c r="C51" s="76" t="inlineStr">
        <is>
          <t>Zendesk</t>
        </is>
      </c>
      <c r="D51" s="101" t="n">
        <v>150</v>
      </c>
      <c r="E51" s="107" t="inlineStr">
        <is>
          <t>Customer support ticketing</t>
        </is>
      </c>
      <c r="F51" s="107" t="inlineStr">
        <is>
          <t>All</t>
        </is>
      </c>
    </row>
    <row r="52" ht="15" customHeight="1" s="58">
      <c r="B52" s="108" t="inlineStr">
        <is>
          <t>Total Tool Costs</t>
        </is>
      </c>
      <c r="C52" s="109" t="inlineStr">
        <is>
          <t>(Included in site projections)</t>
        </is>
      </c>
      <c r="D52" s="110">
        <f>SUM(D42:D51)</f>
        <v/>
      </c>
    </row>
  </sheetData>
  <mergeCells count="1">
    <mergeCell ref="B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E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7" min="1" max="1"/>
    <col width="25" customWidth="1" style="57" min="2" max="2"/>
    <col width="70" customWidth="1" style="57" min="3" max="3"/>
    <col width="20" customWidth="1" style="57" min="4" max="4"/>
    <col width="25" customWidth="1" style="57" min="5" max="5"/>
  </cols>
  <sheetData>
    <row r="2" ht="34.5" customHeight="1" s="58">
      <c r="B2" s="72" t="inlineStr">
        <is>
          <t>E-COMMERCE METRICS GLOSSARY</t>
        </is>
      </c>
    </row>
    <row r="3" ht="15" customHeight="1" s="58">
      <c r="B3" s="73" t="inlineStr">
        <is>
          <t>A comprehensive guide to understanding e-commerce KPIs and financial metrics</t>
        </is>
      </c>
    </row>
    <row r="5" ht="24.75" customHeight="1" s="58">
      <c r="B5" s="74" t="inlineStr">
        <is>
          <t>HOW TO USE THIS SPREADSHEET</t>
        </is>
      </c>
    </row>
    <row r="7" ht="15" customHeight="1" s="58">
      <c r="B7" s="64" t="inlineStr">
        <is>
          <t>1. START WITH ASSUMPTIONS: Review and adjust the blue-colored input values in the Assumptions sheet to match your expectations.</t>
        </is>
      </c>
    </row>
    <row r="8" ht="15" customHeight="1" s="58">
      <c r="B8" s="64" t="inlineStr">
        <is>
          <t>2. REVIEW SITE PROJECTIONS: Each site has its own sheet showing 12-month projections for traffic, revenue, and profitability.</t>
        </is>
      </c>
    </row>
    <row r="9" ht="15" customHeight="1" s="58">
      <c r="B9" s="64" t="inlineStr">
        <is>
          <t>3. CHECK CONSOLIDATED VIEW: See the portfolio-wide aggregated metrics and track overall performance.</t>
        </is>
      </c>
    </row>
    <row r="10" ht="15" customHeight="1" s="58">
      <c r="B10" s="64" t="inlineStr">
        <is>
          <t>4. MONITOR MONTHLY: Update actual figures against projections to track variance and adjust strategy.</t>
        </is>
      </c>
    </row>
    <row r="11" ht="15" customHeight="1" s="58">
      <c r="B11" s="64" t="inlineStr">
        <is>
          <t>5. COLOR CODING: Blue text = Editable inputs | Black text = Calculated values | Green text = Cross-sheet references</t>
        </is>
      </c>
    </row>
    <row r="13" ht="24.75" customHeight="1" s="58">
      <c r="B13" s="74" t="inlineStr">
        <is>
          <t>TRAFFIC METRICS</t>
        </is>
      </c>
    </row>
    <row r="15" ht="15" customHeight="1" s="58">
      <c r="B15" s="100" t="inlineStr">
        <is>
          <t>Metric</t>
        </is>
      </c>
      <c r="C15" s="100" t="inlineStr">
        <is>
          <t>Definition &amp; Calculation</t>
        </is>
      </c>
      <c r="D15" s="100" t="inlineStr">
        <is>
          <t>Benchmark</t>
        </is>
      </c>
      <c r="E15" s="100" t="inlineStr">
        <is>
          <t>Why It Matters</t>
        </is>
      </c>
    </row>
    <row r="16" ht="49.5" customHeight="1" s="58">
      <c r="B16" s="76" t="inlineStr">
        <is>
          <t>Organic Traffic</t>
        </is>
      </c>
      <c r="C16" s="106" t="inlineStr">
        <is>
          <t>Visitors who find your site through unpaid search results (Google, Bing). Grows through SEO efforts.</t>
        </is>
      </c>
      <c r="D16" s="111" t="inlineStr">
        <is>
          <t>15-30% monthly growth for new sites</t>
        </is>
      </c>
      <c r="E16" s="106" t="inlineStr">
        <is>
          <t>Sustainable, low-cost acquisition channel</t>
        </is>
      </c>
    </row>
    <row r="17" ht="49.5" customHeight="1" s="58">
      <c r="B17" s="76" t="inlineStr">
        <is>
          <t>Paid Traffic</t>
        </is>
      </c>
      <c r="C17" s="106" t="inlineStr">
        <is>
          <t>Visitors from paid advertising (Google Ads, Meta/Facebook Ads). Directly controlled by budget.</t>
        </is>
      </c>
      <c r="D17" s="111" t="inlineStr">
        <is>
          <t>Varies by industry: £1-5 CPC typical</t>
        </is>
      </c>
      <c r="E17" s="106" t="inlineStr">
        <is>
          <t>Immediate traffic, scalable with budget</t>
        </is>
      </c>
    </row>
    <row r="18" ht="49.5" customHeight="1" s="58">
      <c r="B18" s="76" t="inlineStr">
        <is>
          <t>Direct Traffic</t>
        </is>
      </c>
      <c r="C18" s="106" t="inlineStr">
        <is>
          <t>Visitors who type your URL directly or use bookmarks. Indicates brand awareness.</t>
        </is>
      </c>
      <c r="D18" s="111" t="inlineStr">
        <is>
          <t>Typically 10-20% of total traffic</t>
        </is>
      </c>
      <c r="E18" s="106" t="inlineStr">
        <is>
          <t>Shows brand strength and customer loyalty</t>
        </is>
      </c>
    </row>
    <row r="19" ht="49.5" customHeight="1" s="58">
      <c r="B19" s="76" t="inlineStr">
        <is>
          <t>Total Traffic</t>
        </is>
      </c>
      <c r="C19" s="106" t="inlineStr">
        <is>
          <t>Sum of all traffic sources: Organic + Paid + Direct + Referral + Social.</t>
        </is>
      </c>
      <c r="D19" s="111" t="inlineStr">
        <is>
          <t>Growth rate is key metric</t>
        </is>
      </c>
      <c r="E19" s="106" t="inlineStr">
        <is>
          <t>Top of funnel - drives all downstream metrics</t>
        </is>
      </c>
    </row>
    <row r="20" ht="49.5" customHeight="1" s="58">
      <c r="B20" s="76" t="inlineStr">
        <is>
          <t>Bounce Rate</t>
        </is>
      </c>
      <c r="C20" s="106" t="inlineStr">
        <is>
          <t>Percentage of visitors who leave after viewing only one page.</t>
        </is>
      </c>
      <c r="D20" s="111" t="inlineStr">
        <is>
          <t>Good: &lt;40%, Poor: &gt;60%</t>
        </is>
      </c>
      <c r="E20" s="106" t="inlineStr">
        <is>
          <t>Indicates landing page quality and relevance</t>
        </is>
      </c>
    </row>
    <row r="22" ht="24.75" customHeight="1" s="58">
      <c r="B22" s="74" t="inlineStr">
        <is>
          <t>CONVERSION METRICS</t>
        </is>
      </c>
    </row>
    <row r="24" ht="15" customHeight="1" s="58">
      <c r="B24" s="100" t="inlineStr">
        <is>
          <t>Metric</t>
        </is>
      </c>
      <c r="C24" s="100" t="inlineStr">
        <is>
          <t>Definition &amp; Calculation</t>
        </is>
      </c>
      <c r="D24" s="100" t="inlineStr">
        <is>
          <t>Benchmark</t>
        </is>
      </c>
      <c r="E24" s="100" t="inlineStr">
        <is>
          <t>Why It Matters</t>
        </is>
      </c>
    </row>
    <row r="25" ht="49.5" customHeight="1" s="58">
      <c r="B25" s="76" t="inlineStr">
        <is>
          <t>Conversion Rate (CVR)</t>
        </is>
      </c>
      <c r="C25" s="106" t="inlineStr">
        <is>
          <t>Percentage of visitors who make a purchase. Formula: Orders ÷ Total Traffic × 100</t>
        </is>
      </c>
      <c r="D25" s="111" t="inlineStr">
        <is>
          <t>B2C: 1.5-3%, B2B: 2-5%</t>
        </is>
      </c>
      <c r="E25" s="106" t="inlineStr">
        <is>
          <t>Core metric for site effectiveness</t>
        </is>
      </c>
    </row>
    <row r="26" ht="49.5" customHeight="1" s="58">
      <c r="B26" s="76" t="inlineStr">
        <is>
          <t>Orders</t>
        </is>
      </c>
      <c r="C26" s="106" t="inlineStr">
        <is>
          <t>Total number of transactions completed in a period.</t>
        </is>
      </c>
      <c r="D26" s="111" t="inlineStr">
        <is>
          <t>Growth rate matters more than absolute</t>
        </is>
      </c>
      <c r="E26" s="106" t="inlineStr">
        <is>
          <t>Directly drives revenue</t>
        </is>
      </c>
    </row>
    <row r="27" ht="49.5" customHeight="1" s="58">
      <c r="B27" s="76" t="inlineStr">
        <is>
          <t>Average Order Value (AOV)</t>
        </is>
      </c>
      <c r="C27" s="106" t="inlineStr">
        <is>
          <t>Average amount spent per order. Formula: Revenue ÷ Orders</t>
        </is>
      </c>
      <c r="D27" s="111" t="inlineStr">
        <is>
          <t>Varies widely: £50-300 typical</t>
        </is>
      </c>
      <c r="E27" s="106" t="inlineStr">
        <is>
          <t>Higher AOV = more revenue per customer</t>
        </is>
      </c>
    </row>
    <row r="28" ht="49.5" customHeight="1" s="58">
      <c r="B28" s="76" t="inlineStr">
        <is>
          <t>Cart Abandonment Rate</t>
        </is>
      </c>
      <c r="C28" s="106" t="inlineStr">
        <is>
          <t>Percentage of shoppers who add items but don't complete purchase.</t>
        </is>
      </c>
      <c r="D28" s="111" t="inlineStr">
        <is>
          <t>Industry avg: 70% (lower is better)</t>
        </is>
      </c>
      <c r="E28" s="106" t="inlineStr">
        <is>
          <t>Indicates checkout friction</t>
        </is>
      </c>
    </row>
    <row r="29" ht="49.5" customHeight="1" s="58">
      <c r="B29" s="76" t="inlineStr">
        <is>
          <t>Add to Cart Rate</t>
        </is>
      </c>
      <c r="C29" s="106" t="inlineStr">
        <is>
          <t>Percentage of visitors who add items to cart.</t>
        </is>
      </c>
      <c r="D29" s="111" t="inlineStr">
        <is>
          <t>Good: &gt;8%, Excellent: &gt;12%</t>
        </is>
      </c>
      <c r="E29" s="106" t="inlineStr">
        <is>
          <t>Shows product appeal and pricing</t>
        </is>
      </c>
    </row>
    <row r="31" ht="24.75" customHeight="1" s="58">
      <c r="B31" s="74" t="inlineStr">
        <is>
          <t>FINANCIAL METRICS</t>
        </is>
      </c>
    </row>
    <row r="33" ht="15" customHeight="1" s="58">
      <c r="B33" s="100" t="inlineStr">
        <is>
          <t>Metric</t>
        </is>
      </c>
      <c r="C33" s="100" t="inlineStr">
        <is>
          <t>Definition &amp; Calculation</t>
        </is>
      </c>
      <c r="D33" s="100" t="inlineStr">
        <is>
          <t>Benchmark</t>
        </is>
      </c>
      <c r="E33" s="100" t="inlineStr">
        <is>
          <t>Why It Matters</t>
        </is>
      </c>
    </row>
    <row r="34" ht="49.5" customHeight="1" s="58">
      <c r="B34" s="76" t="inlineStr">
        <is>
          <t>Revenue</t>
        </is>
      </c>
      <c r="C34" s="106" t="inlineStr">
        <is>
          <t>Total income from sales. Formula: Orders × AOV</t>
        </is>
      </c>
      <c r="D34" s="111" t="inlineStr">
        <is>
          <t>Monthly growth target: 10-20%</t>
        </is>
      </c>
      <c r="E34" s="106" t="inlineStr">
        <is>
          <t>Top-line business performance</t>
        </is>
      </c>
    </row>
    <row r="35" ht="49.5" customHeight="1" s="58">
      <c r="B35" s="76" t="inlineStr">
        <is>
          <t>Gross Profit</t>
        </is>
      </c>
      <c r="C35" s="106" t="inlineStr">
        <is>
          <t>Revenue minus cost of goods sold. Formula: Revenue × Gross Margin %</t>
        </is>
      </c>
      <c r="D35" s="111" t="inlineStr">
        <is>
          <t>Margin % is key: 30-50% typical</t>
        </is>
      </c>
      <c r="E35" s="106" t="inlineStr">
        <is>
          <t>Money available to cover operating costs</t>
        </is>
      </c>
    </row>
    <row r="36" ht="49.5" customHeight="1" s="58">
      <c r="B36" s="76" t="inlineStr">
        <is>
          <t>Gross Margin %</t>
        </is>
      </c>
      <c r="C36" s="106" t="inlineStr">
        <is>
          <t>Percentage of revenue kept after product costs. Formula: Gross Profit ÷ Revenue</t>
        </is>
      </c>
      <c r="D36" s="111" t="inlineStr">
        <is>
          <t>Good: &gt;35%, Excellent: &gt;50%</t>
        </is>
      </c>
      <c r="E36" s="106" t="inlineStr">
        <is>
          <t>Indicates pricing power and efficiency</t>
        </is>
      </c>
    </row>
    <row r="37" ht="49.5" customHeight="1" s="58">
      <c r="B37" s="76" t="inlineStr">
        <is>
          <t>Contribution</t>
        </is>
      </c>
      <c r="C37" s="106" t="inlineStr">
        <is>
          <t>Gross profit minus marketing and operational costs. Shows true profitability per site.</t>
        </is>
      </c>
      <c r="D37" s="111" t="inlineStr">
        <is>
          <t>Target: Positive by month 6-9</t>
        </is>
      </c>
      <c r="E37" s="106" t="inlineStr">
        <is>
          <t>Site-level profitability metric</t>
        </is>
      </c>
    </row>
    <row r="38" ht="49.5" customHeight="1" s="58">
      <c r="B38" s="76" t="inlineStr">
        <is>
          <t>ROAS (Return on Ad Spend)</t>
        </is>
      </c>
      <c r="C38" s="106" t="inlineStr">
        <is>
          <t>Revenue generated per £1 spent on ads. Formula: Revenue ÷ Ad Spend</t>
        </is>
      </c>
      <c r="D38" s="111" t="inlineStr">
        <is>
          <t>Good: 3x+, Excellent: 5x+</t>
        </is>
      </c>
      <c r="E38" s="106" t="inlineStr">
        <is>
          <t>Measures advertising efficiency</t>
        </is>
      </c>
    </row>
    <row r="39" ht="49.5" customHeight="1" s="58">
      <c r="B39" s="76" t="inlineStr">
        <is>
          <t>CAC (Customer Acquisition Cost)</t>
        </is>
      </c>
      <c r="C39" s="106" t="inlineStr">
        <is>
          <t>Cost to acquire one customer. Formula: Marketing Spend ÷ New Customers</t>
        </is>
      </c>
      <c r="D39" s="111" t="inlineStr">
        <is>
          <t>Varies: £10-50 typical</t>
        </is>
      </c>
      <c r="E39" s="106" t="inlineStr">
        <is>
          <t>Lower CAC = more efficient marketing</t>
        </is>
      </c>
    </row>
    <row r="40" ht="49.5" customHeight="1" s="58">
      <c r="B40" s="76" t="inlineStr">
        <is>
          <t>LTV (Lifetime Value)</t>
        </is>
      </c>
      <c r="C40" s="106" t="inlineStr">
        <is>
          <t>Total revenue expected from a customer over their relationship.</t>
        </is>
      </c>
      <c r="D40" s="111" t="inlineStr">
        <is>
          <t>LTV:CAC ratio should be &gt;3:1</t>
        </is>
      </c>
      <c r="E40" s="106" t="inlineStr">
        <is>
          <t>Justifies acquisition spend</t>
        </is>
      </c>
    </row>
    <row r="41" ht="49.5" customHeight="1" s="58">
      <c r="B41" s="76" t="inlineStr">
        <is>
          <t>Payback Period</t>
        </is>
      </c>
      <c r="C41" s="106" t="inlineStr">
        <is>
          <t>Time to recover CAC through customer purchases.</t>
        </is>
      </c>
      <c r="D41" s="111" t="inlineStr">
        <is>
          <t>Good: &lt;6 months</t>
        </is>
      </c>
      <c r="E41" s="106" t="inlineStr">
        <is>
          <t>Cash flow critical metric</t>
        </is>
      </c>
    </row>
    <row r="43" ht="24.75" customHeight="1" s="58">
      <c r="B43" s="74" t="inlineStr">
        <is>
          <t>MARKETING &amp; SEO METRICS</t>
        </is>
      </c>
    </row>
    <row r="45" ht="15" customHeight="1" s="58">
      <c r="B45" s="100" t="inlineStr">
        <is>
          <t>Metric</t>
        </is>
      </c>
      <c r="C45" s="100" t="inlineStr">
        <is>
          <t>Definition &amp; Calculation</t>
        </is>
      </c>
      <c r="D45" s="100" t="inlineStr">
        <is>
          <t>Benchmark</t>
        </is>
      </c>
      <c r="E45" s="100" t="inlineStr">
        <is>
          <t>Why It Matters</t>
        </is>
      </c>
    </row>
    <row r="46" ht="49.5" customHeight="1" s="58">
      <c r="B46" s="76" t="inlineStr">
        <is>
          <t>CPC (Cost Per Click)</t>
        </is>
      </c>
      <c r="C46" s="106" t="inlineStr">
        <is>
          <t>Amount paid for each ad click. Formula: Ad Spend ÷ Clicks</t>
        </is>
      </c>
      <c r="D46" s="111" t="inlineStr">
        <is>
          <t>£1-3 typical, varies by industry</t>
        </is>
      </c>
      <c r="E46" s="106" t="inlineStr">
        <is>
          <t>Efficiency of paid campaigns</t>
        </is>
      </c>
    </row>
    <row r="47" ht="49.5" customHeight="1" s="58">
      <c r="B47" s="76" t="inlineStr">
        <is>
          <t>CPM (Cost Per Mille)</t>
        </is>
      </c>
      <c r="C47" s="106" t="inlineStr">
        <is>
          <t>Cost per 1,000 ad impressions.</t>
        </is>
      </c>
      <c r="D47" s="111" t="inlineStr">
        <is>
          <t>£5-20 typical</t>
        </is>
      </c>
      <c r="E47" s="106" t="inlineStr">
        <is>
          <t>Brand awareness campaigns</t>
        </is>
      </c>
    </row>
    <row r="48" ht="49.5" customHeight="1" s="58">
      <c r="B48" s="76" t="inlineStr">
        <is>
          <t>CTR (Click-Through Rate)</t>
        </is>
      </c>
      <c r="C48" s="106" t="inlineStr">
        <is>
          <t>Percentage who click after seeing an ad. Formula: Clicks ÷ Impressions</t>
        </is>
      </c>
      <c r="D48" s="111" t="inlineStr">
        <is>
          <t>Good: &gt;2%, Excellent: &gt;5%</t>
        </is>
      </c>
      <c r="E48" s="106" t="inlineStr">
        <is>
          <t>Ad relevance and creative quality</t>
        </is>
      </c>
    </row>
    <row r="49" ht="49.5" customHeight="1" s="58">
      <c r="B49" s="76" t="inlineStr">
        <is>
          <t>Impression Share</t>
        </is>
      </c>
      <c r="C49" s="106" t="inlineStr">
        <is>
          <t>Percentage of available impressions your ads received.</t>
        </is>
      </c>
      <c r="D49" s="111" t="inlineStr">
        <is>
          <t>Target: &gt;70% for core keywords</t>
        </is>
      </c>
      <c r="E49" s="106" t="inlineStr">
        <is>
          <t>Market visibility</t>
        </is>
      </c>
    </row>
    <row r="50" ht="49.5" customHeight="1" s="58">
      <c r="B50" s="76" t="inlineStr">
        <is>
          <t>Quality Score</t>
        </is>
      </c>
      <c r="C50" s="106" t="inlineStr">
        <is>
          <t>Google Ads rating of ad relevance (1-10).</t>
        </is>
      </c>
      <c r="D50" s="111" t="inlineStr">
        <is>
          <t>Target: 7+</t>
        </is>
      </c>
      <c r="E50" s="106" t="inlineStr">
        <is>
          <t>Affects CPC and ad position</t>
        </is>
      </c>
    </row>
    <row r="51" ht="49.5" customHeight="1" s="58">
      <c r="B51" s="76" t="inlineStr">
        <is>
          <t>Domain Authority</t>
        </is>
      </c>
      <c r="C51" s="106" t="inlineStr">
        <is>
          <t>SEO score predicting search ranking potential (1-100).</t>
        </is>
      </c>
      <c r="D51" s="111" t="inlineStr">
        <is>
          <t>Good: &gt;40, Excellent: &gt;60</t>
        </is>
      </c>
      <c r="E51" s="106" t="inlineStr">
        <is>
          <t>SEO strength indicator</t>
        </is>
      </c>
    </row>
    <row r="52" ht="49.5" customHeight="1" s="58">
      <c r="B52" s="76" t="inlineStr">
        <is>
          <t>Backlinks</t>
        </is>
      </c>
      <c r="C52" s="106" t="inlineStr">
        <is>
          <t>Number of external sites linking to yours.</t>
        </is>
      </c>
      <c r="D52" s="111" t="inlineStr">
        <is>
          <t>Quality &gt; Quantity</t>
        </is>
      </c>
      <c r="E52" s="106" t="inlineStr">
        <is>
          <t>Major SEO ranking factor</t>
        </is>
      </c>
    </row>
    <row r="53" ht="49.5" customHeight="1" s="58">
      <c r="B53" s="76" t="inlineStr">
        <is>
          <t>Page Load Time</t>
        </is>
      </c>
      <c r="C53" s="106" t="inlineStr">
        <is>
          <t>Time for page to fully load.</t>
        </is>
      </c>
      <c r="D53" s="111" t="inlineStr">
        <is>
          <t>Target: &lt;3 seconds</t>
        </is>
      </c>
      <c r="E53" s="106" t="inlineStr">
        <is>
          <t>Affects SEO and conversion</t>
        </is>
      </c>
    </row>
    <row r="55" ht="24.75" customHeight="1" s="58">
      <c r="B55" s="74" t="inlineStr">
        <is>
          <t>CUSTOMER &amp; RETENTION METRICS</t>
        </is>
      </c>
    </row>
    <row r="57" ht="15" customHeight="1" s="58">
      <c r="B57" s="100" t="inlineStr">
        <is>
          <t>Metric</t>
        </is>
      </c>
      <c r="C57" s="100" t="inlineStr">
        <is>
          <t>Definition &amp; Calculation</t>
        </is>
      </c>
      <c r="D57" s="100" t="inlineStr">
        <is>
          <t>Benchmark</t>
        </is>
      </c>
      <c r="E57" s="100" t="inlineStr">
        <is>
          <t>Why It Matters</t>
        </is>
      </c>
    </row>
    <row r="58" ht="49.5" customHeight="1" s="58">
      <c r="B58" s="76" t="inlineStr">
        <is>
          <t>Repeat Purchase Rate</t>
        </is>
      </c>
      <c r="C58" s="106" t="inlineStr">
        <is>
          <t>Percentage of customers who buy again. Formula: Returning Customers ÷ Total Customers</t>
        </is>
      </c>
      <c r="D58" s="111" t="inlineStr">
        <is>
          <t>Good: &gt;20%, Excellent: &gt;40%</t>
        </is>
      </c>
      <c r="E58" s="106" t="inlineStr">
        <is>
          <t>Customer loyalty indicator</t>
        </is>
      </c>
    </row>
    <row r="59" ht="49.5" customHeight="1" s="58">
      <c r="B59" s="76" t="inlineStr">
        <is>
          <t>Net Promoter Score (NPS)</t>
        </is>
      </c>
      <c r="C59" s="106" t="inlineStr">
        <is>
          <t>Customer satisfaction score (-100 to +100) based on likelihood to recommend.</t>
        </is>
      </c>
      <c r="D59" s="111" t="inlineStr">
        <is>
          <t>Good: &gt;30, Excellent: &gt;50</t>
        </is>
      </c>
      <c r="E59" s="106" t="inlineStr">
        <is>
          <t>Word-of-mouth potential</t>
        </is>
      </c>
    </row>
    <row r="60" ht="49.5" customHeight="1" s="58">
      <c r="B60" s="76" t="inlineStr">
        <is>
          <t>Customer Reviews</t>
        </is>
      </c>
      <c r="C60" s="106" t="inlineStr">
        <is>
          <t>Quantity and quality of product/site reviews.</t>
        </is>
      </c>
      <c r="D60" s="111" t="inlineStr">
        <is>
          <t>Target: &gt;4.5 stars, growing count</t>
        </is>
      </c>
      <c r="E60" s="106" t="inlineStr">
        <is>
          <t>Social proof and SEO</t>
        </is>
      </c>
    </row>
    <row r="61" ht="49.5" customHeight="1" s="58">
      <c r="B61" s="76" t="inlineStr">
        <is>
          <t>Return Rate</t>
        </is>
      </c>
      <c r="C61" s="106" t="inlineStr">
        <is>
          <t>Percentage of orders returned.</t>
        </is>
      </c>
      <c r="D61" s="111" t="inlineStr">
        <is>
          <t>Target: &lt;5%</t>
        </is>
      </c>
      <c r="E61" s="106" t="inlineStr">
        <is>
          <t>Product quality and description accuracy</t>
        </is>
      </c>
    </row>
    <row r="62" ht="49.5" customHeight="1" s="58">
      <c r="B62" s="76" t="inlineStr">
        <is>
          <t>Time to Purchase</t>
        </is>
      </c>
      <c r="C62" s="106" t="inlineStr">
        <is>
          <t>Average days from first visit to purchase.</t>
        </is>
      </c>
      <c r="D62" s="111" t="inlineStr">
        <is>
          <t>Varies: 1-30 days typical</t>
        </is>
      </c>
      <c r="E62" s="106" t="inlineStr">
        <is>
          <t>Sales cycle length</t>
        </is>
      </c>
    </row>
    <row r="65" ht="24.75" customHeight="1" s="58">
      <c r="B65" s="74" t="inlineStr">
        <is>
          <t>KEY FORMULAS REFERENCE</t>
        </is>
      </c>
    </row>
    <row r="67" ht="15" customHeight="1" s="58">
      <c r="B67" s="75" t="inlineStr">
        <is>
          <t>Formula Name</t>
        </is>
      </c>
      <c r="C67" s="75" t="inlineStr">
        <is>
          <t>Formula</t>
        </is>
      </c>
      <c r="D67" s="75" t="inlineStr">
        <is>
          <t>Example</t>
        </is>
      </c>
    </row>
    <row r="68" ht="15" customHeight="1" s="58">
      <c r="B68" s="76" t="inlineStr">
        <is>
          <t>Revenue</t>
        </is>
      </c>
      <c r="C68" s="112" t="inlineStr">
        <is>
          <t>Orders × AOV</t>
        </is>
      </c>
      <c r="D68" s="111" t="inlineStr">
        <is>
          <t>100 orders × £85 = £8,500</t>
        </is>
      </c>
    </row>
    <row r="69" ht="15" customHeight="1" s="58">
      <c r="B69" s="76" t="inlineStr">
        <is>
          <t>Gross Profit</t>
        </is>
      </c>
      <c r="C69" s="112" t="inlineStr">
        <is>
          <t>Revenue × Gross Margin %</t>
        </is>
      </c>
      <c r="D69" s="111" t="inlineStr">
        <is>
          <t>£8,500 × 40% = £3,400</t>
        </is>
      </c>
    </row>
    <row r="70" ht="15" customHeight="1" s="58">
      <c r="B70" s="76" t="inlineStr">
        <is>
          <t>Contribution</t>
        </is>
      </c>
      <c r="C70" s="112" t="inlineStr">
        <is>
          <t>Gross Profit - Marketing - Operations</t>
        </is>
      </c>
      <c r="D70" s="111" t="inlineStr">
        <is>
          <t>£3,400 - £2,000 - £800 = £600</t>
        </is>
      </c>
    </row>
    <row r="71" ht="15" customHeight="1" s="58">
      <c r="B71" s="76" t="inlineStr">
        <is>
          <t>ROAS</t>
        </is>
      </c>
      <c r="C71" s="112" t="inlineStr">
        <is>
          <t>Revenue ÷ Ad Spend</t>
        </is>
      </c>
      <c r="D71" s="111" t="inlineStr">
        <is>
          <t>£8,500 ÷ £2,500 = 3.4x</t>
        </is>
      </c>
    </row>
    <row r="72" ht="15" customHeight="1" s="58">
      <c r="B72" s="76" t="inlineStr">
        <is>
          <t>CAC</t>
        </is>
      </c>
      <c r="C72" s="112" t="inlineStr">
        <is>
          <t>Marketing Spend ÷ New Customers</t>
        </is>
      </c>
      <c r="D72" s="111" t="inlineStr">
        <is>
          <t>£2,500 ÷ 50 = £50</t>
        </is>
      </c>
    </row>
    <row r="73" ht="15" customHeight="1" s="58">
      <c r="B73" s="76" t="inlineStr">
        <is>
          <t>Conversion Rate</t>
        </is>
      </c>
      <c r="C73" s="112" t="inlineStr">
        <is>
          <t>(Orders ÷ Traffic) × 100</t>
        </is>
      </c>
      <c r="D73" s="111" t="inlineStr">
        <is>
          <t>(100 ÷ 5,000) × 100 = 2%</t>
        </is>
      </c>
    </row>
    <row r="74" ht="15" customHeight="1" s="58">
      <c r="B74" s="76" t="inlineStr">
        <is>
          <t>AOV</t>
        </is>
      </c>
      <c r="C74" s="112" t="inlineStr">
        <is>
          <t>Revenue ÷ Orders</t>
        </is>
      </c>
      <c r="D74" s="111" t="inlineStr">
        <is>
          <t>£8,500 ÷ 100 = £85</t>
        </is>
      </c>
    </row>
    <row r="75" ht="15" customHeight="1" s="58">
      <c r="B75" s="76" t="inlineStr">
        <is>
          <t>LTV</t>
        </is>
      </c>
      <c r="C75" s="112" t="inlineStr">
        <is>
          <t>AOV × Purchase Frequency × Lifespan</t>
        </is>
      </c>
      <c r="D75" s="111" t="inlineStr">
        <is>
          <t>£85 × 3 × 2 years = £510</t>
        </is>
      </c>
    </row>
  </sheetData>
  <mergeCells count="6">
    <mergeCell ref="B9:E9"/>
    <mergeCell ref="B8:E8"/>
    <mergeCell ref="B7:E7"/>
    <mergeCell ref="B11:E11"/>
    <mergeCell ref="B2:E2"/>
    <mergeCell ref="B10:E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2026-01-27T20:57:18Z</dcterms:created>
  <dcterms:modified xmlns:dcterms="http://purl.org/dc/terms/" xmlns:xsi="http://www.w3.org/2001/XMLSchema-instance" xsi:type="dcterms:W3CDTF">2026-01-28T11:40:16Z</dcterms:modified>
  <cp:revision>1</cp:revision>
</cp:coreProperties>
</file>