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Mayes\OneDrive - Gocableties\Documents\MH\"/>
    </mc:Choice>
  </mc:AlternateContent>
  <xr:revisionPtr revIDLastSave="0" documentId="13_ncr:1_{3C12271B-4BCF-4F35-B246-8174D0830400}" xr6:coauthVersionLast="47" xr6:coauthVersionMax="47" xr10:uidLastSave="{00000000-0000-0000-0000-000000000000}"/>
  <bookViews>
    <workbookView xWindow="-28920" yWindow="-120" windowWidth="29040" windowHeight="15720" xr2:uid="{611CCD82-4BBA-4AB8-9FA7-885856C19DA8}"/>
  </bookViews>
  <sheets>
    <sheet name="Traffic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G20" i="1" s="1"/>
  <c r="H20" i="1" s="1"/>
  <c r="I20" i="1" s="1"/>
  <c r="J20" i="1" s="1"/>
  <c r="K20" i="1" s="1"/>
  <c r="L20" i="1" s="1"/>
  <c r="M20" i="1" s="1"/>
  <c r="N20" i="1" s="1"/>
  <c r="O20" i="1" s="1"/>
  <c r="E20" i="1"/>
  <c r="F18" i="1"/>
  <c r="G18" i="1" s="1"/>
  <c r="H18" i="1" s="1"/>
  <c r="I18" i="1" s="1"/>
  <c r="J18" i="1" s="1"/>
  <c r="K18" i="1" s="1"/>
  <c r="L18" i="1" s="1"/>
  <c r="M18" i="1" s="1"/>
  <c r="N18" i="1" s="1"/>
  <c r="O18" i="1" s="1"/>
  <c r="E18" i="1"/>
  <c r="F30" i="1"/>
  <c r="G30" i="1" s="1"/>
  <c r="H30" i="1" s="1"/>
  <c r="I30" i="1" s="1"/>
  <c r="J30" i="1" s="1"/>
  <c r="K30" i="1" s="1"/>
  <c r="L30" i="1" s="1"/>
  <c r="M30" i="1" s="1"/>
  <c r="N30" i="1" s="1"/>
  <c r="O30" i="1" s="1"/>
  <c r="E30" i="1"/>
  <c r="F10" i="1"/>
  <c r="G10" i="1" s="1"/>
  <c r="H10" i="1" s="1"/>
  <c r="I10" i="1" s="1"/>
  <c r="J10" i="1" s="1"/>
  <c r="K10" i="1" s="1"/>
  <c r="L10" i="1" s="1"/>
  <c r="M10" i="1" s="1"/>
  <c r="N10" i="1" s="1"/>
  <c r="O10" i="1" s="1"/>
  <c r="E10" i="1"/>
  <c r="E11" i="1"/>
  <c r="J14" i="1"/>
  <c r="K14" i="1"/>
  <c r="L14" i="1"/>
  <c r="M14" i="1"/>
  <c r="N14" i="1"/>
  <c r="O14" i="1"/>
  <c r="J25" i="1"/>
  <c r="K25" i="1"/>
  <c r="L25" i="1"/>
  <c r="M25" i="1"/>
  <c r="N25" i="1"/>
  <c r="O25" i="1"/>
  <c r="J28" i="1"/>
  <c r="K28" i="1"/>
  <c r="L28" i="1"/>
  <c r="M28" i="1"/>
  <c r="N28" i="1"/>
  <c r="O28" i="1"/>
  <c r="E25" i="1"/>
  <c r="F25" i="1" s="1"/>
  <c r="G25" i="1" s="1"/>
  <c r="H25" i="1" s="1"/>
  <c r="I25" i="1" s="1"/>
  <c r="F28" i="1"/>
  <c r="G28" i="1" s="1"/>
  <c r="H28" i="1" s="1"/>
  <c r="I28" i="1" s="1"/>
  <c r="E28" i="1"/>
  <c r="F14" i="1"/>
  <c r="G14" i="1" s="1"/>
  <c r="H14" i="1" s="1"/>
  <c r="I14" i="1" s="1"/>
  <c r="E14" i="1"/>
  <c r="D11" i="1"/>
  <c r="D32" i="1"/>
  <c r="D12" i="1"/>
  <c r="D16" i="1" s="1"/>
  <c r="D22" i="1" s="1"/>
  <c r="D24" i="1" s="1"/>
  <c r="E32" i="1" l="1"/>
  <c r="E12" i="1"/>
  <c r="E16" i="1" s="1"/>
  <c r="E22" i="1" s="1"/>
  <c r="E27" i="1" s="1"/>
  <c r="D27" i="1"/>
  <c r="D34" i="1" s="1"/>
  <c r="E24" i="1" l="1"/>
  <c r="E34" i="1" s="1"/>
  <c r="F11" i="1"/>
  <c r="F12" i="1" s="1"/>
  <c r="F16" i="1" s="1"/>
  <c r="F22" i="1" s="1"/>
  <c r="F24" i="1" s="1"/>
  <c r="F32" i="1"/>
  <c r="G11" i="1"/>
  <c r="G12" i="1" s="1"/>
  <c r="G16" i="1" s="1"/>
  <c r="G22" i="1" s="1"/>
  <c r="G24" i="1" s="1"/>
  <c r="G32" i="1"/>
  <c r="F27" i="1"/>
  <c r="F34" i="1" l="1"/>
  <c r="G27" i="1"/>
  <c r="G34" i="1" s="1"/>
  <c r="H11" i="1"/>
  <c r="H12" i="1" s="1"/>
  <c r="H16" i="1" s="1"/>
  <c r="H22" i="1" s="1"/>
  <c r="H32" i="1"/>
  <c r="H27" i="1" l="1"/>
  <c r="H24" i="1"/>
  <c r="I32" i="1"/>
  <c r="I11" i="1"/>
  <c r="I12" i="1" s="1"/>
  <c r="I16" i="1" s="1"/>
  <c r="I22" i="1" s="1"/>
  <c r="H34" i="1" l="1"/>
  <c r="I24" i="1"/>
  <c r="I27" i="1"/>
  <c r="J11" i="1"/>
  <c r="J12" i="1" s="1"/>
  <c r="J16" i="1" s="1"/>
  <c r="J22" i="1" s="1"/>
  <c r="J32" i="1"/>
  <c r="I34" i="1" l="1"/>
  <c r="K11" i="1"/>
  <c r="K12" i="1" s="1"/>
  <c r="K16" i="1" s="1"/>
  <c r="K22" i="1" s="1"/>
  <c r="K32" i="1"/>
  <c r="J24" i="1"/>
  <c r="J27" i="1"/>
  <c r="J34" i="1" l="1"/>
  <c r="L11" i="1"/>
  <c r="L12" i="1" s="1"/>
  <c r="L16" i="1" s="1"/>
  <c r="L22" i="1" s="1"/>
  <c r="L32" i="1"/>
  <c r="K27" i="1"/>
  <c r="K24" i="1"/>
  <c r="K34" i="1" l="1"/>
  <c r="L24" i="1"/>
  <c r="L27" i="1"/>
  <c r="M11" i="1"/>
  <c r="M12" i="1" s="1"/>
  <c r="M16" i="1" s="1"/>
  <c r="M22" i="1" s="1"/>
  <c r="M32" i="1"/>
  <c r="M24" i="1" l="1"/>
  <c r="M27" i="1"/>
  <c r="N11" i="1"/>
  <c r="N12" i="1" s="1"/>
  <c r="N16" i="1" s="1"/>
  <c r="N22" i="1" s="1"/>
  <c r="N32" i="1"/>
  <c r="L34" i="1"/>
  <c r="O11" i="1" l="1"/>
  <c r="O12" i="1" s="1"/>
  <c r="O16" i="1" s="1"/>
  <c r="O22" i="1" s="1"/>
  <c r="O32" i="1"/>
  <c r="N24" i="1"/>
  <c r="N27" i="1"/>
  <c r="M34" i="1"/>
  <c r="N34" i="1" l="1"/>
  <c r="O27" i="1"/>
  <c r="O24" i="1"/>
  <c r="O34" i="1" l="1"/>
</calcChain>
</file>

<file path=xl/sharedStrings.xml><?xml version="1.0" encoding="utf-8"?>
<sst xmlns="http://schemas.openxmlformats.org/spreadsheetml/2006/main" count="31" uniqueCount="31">
  <si>
    <t>Domain Name</t>
  </si>
  <si>
    <t>Product Categories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</si>
  <si>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</si>
  <si>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</si>
  <si>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</si>
  <si>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</si>
  <si>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</si>
  <si>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</si>
  <si>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</si>
  <si>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</si>
  <si>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</si>
  <si>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</si>
  <si>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</si>
  <si>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</si>
  <si>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</si>
  <si>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Organic Traffic</t>
  </si>
  <si>
    <t>Paid Traffic</t>
  </si>
  <si>
    <t>Total Traffic</t>
  </si>
  <si>
    <t>Conversion Rate</t>
  </si>
  <si>
    <t>Orders</t>
  </si>
  <si>
    <t>AOV</t>
  </si>
  <si>
    <t>Revenue</t>
  </si>
  <si>
    <t>Gross Profit</t>
  </si>
  <si>
    <t>Distribution%</t>
  </si>
  <si>
    <t>Gross Margin%</t>
  </si>
  <si>
    <t>Paid Spend</t>
  </si>
  <si>
    <t>Marketing</t>
  </si>
  <si>
    <t>Total Marketing Cost</t>
  </si>
  <si>
    <t>Cost per Click</t>
  </si>
  <si>
    <t>Distribution Costs</t>
  </si>
  <si>
    <t>Contribution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</si>
</sst>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3" fillId="0" borderId="0" xfId="0" applyFont="1"/>
    <xf numFmtId="0" fontId="0" fillId="3" borderId="0" xfId="0" applyFill="1"/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0" fillId="3" borderId="0" xfId="0" applyNumberFormat="1" applyFill="1"/>
    <xf numFmtId="165" fontId="0" fillId="0" borderId="0" xfId="1" applyNumberFormat="1" applyFont="1"/>
    <xf numFmtId="43" fontId="0" fillId="3" borderId="0" xfId="1" applyFont="1" applyFill="1"/>
    <xf numFmtId="164" fontId="0" fillId="3" borderId="0" xfId="1" applyNumberFormat="1" applyFont="1" applyFill="1"/>
    <xf numFmtId="165" fontId="0" fillId="3" borderId="0" xfId="1" applyNumberFormat="1" applyFont="1" applyFill="1"/>
    <xf numFmtId="166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D5714-E062-4C31-AA15-B8044FC16D12}">
  <dimension ref="B3:O34"/>
  <sheetViews>
    <sheetView showGridLines="0" tabSelected="1" workbookViewId="0">
      <selection activeCell="R15" sqref="R15"/>
    </sheetView>
  </sheetViews>
  <sheetFormatPr defaultRowHeight="14.4" x14ac:dyDescent="0.3"/>
  <cols>
    <col min="2" max="2" width="20" customWidth="1"/>
    <col min="3" max="3" width="16.88671875" customWidth="1"/>
    <col min="4" max="4" width="9.5546875" bestFit="1" customWidth="1"/>
  </cols>
  <sheetData>
    <row r="3" spans="2:15" x14ac:dyDescent="0.3">
      <c r="C3" s="3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</row>
    <row r="6" spans="2:15" x14ac:dyDescent="0.3">
      <c r="B6" t="s">
        <v>0</v>
      </c>
      <c r="C6" s="2"/>
    </row>
    <row r="7" spans="2:15" x14ac:dyDescent="0.3">
      <c r="B7" t="s">
        <v>1</v>
      </c>
    </row>
    <row r="8" spans="2:15" x14ac:dyDescent="0.3">
      <c r="B8" s="1"/>
    </row>
    <row r="10" spans="2:15" x14ac:dyDescent="0.3">
      <c r="B10" t="s">
        <v>15</v>
      </c>
      <c r="D10" s="9">
        <v>500</v>
      </c>
      <c r="E10" s="9">
        <f>D10*1.3</f>
        <v>650</v>
      </c>
      <c r="F10" s="9">
        <f t="shared" ref="F10:O10" si="0">E10*1.3</f>
        <v>845</v>
      </c>
      <c r="G10" s="9">
        <f t="shared" si="0"/>
        <v>1098.5</v>
      </c>
      <c r="H10" s="9">
        <f t="shared" si="0"/>
        <v>1428.05</v>
      </c>
      <c r="I10" s="9">
        <f t="shared" si="0"/>
        <v>1856.4649999999999</v>
      </c>
      <c r="J10" s="9">
        <f t="shared" si="0"/>
        <v>2413.4045000000001</v>
      </c>
      <c r="K10" s="9">
        <f t="shared" si="0"/>
        <v>3137.4258500000001</v>
      </c>
      <c r="L10" s="9">
        <f t="shared" si="0"/>
        <v>4078.6536050000004</v>
      </c>
      <c r="M10" s="9">
        <f t="shared" si="0"/>
        <v>5302.2496865000003</v>
      </c>
      <c r="N10" s="9">
        <f t="shared" si="0"/>
        <v>6892.924592450001</v>
      </c>
      <c r="O10" s="9">
        <f t="shared" si="0"/>
        <v>8960.8019701850008</v>
      </c>
    </row>
    <row r="11" spans="2:15" x14ac:dyDescent="0.3">
      <c r="B11" t="s">
        <v>16</v>
      </c>
      <c r="D11" s="6">
        <f>-D30/D20</f>
        <v>1000</v>
      </c>
      <c r="E11" s="6">
        <f t="shared" ref="E11:I11" si="1">-E30/E20</f>
        <v>1250</v>
      </c>
      <c r="F11" s="6">
        <f t="shared" si="1"/>
        <v>1500</v>
      </c>
      <c r="G11" s="6">
        <f t="shared" si="1"/>
        <v>1750</v>
      </c>
      <c r="H11" s="6">
        <f t="shared" si="1"/>
        <v>2000</v>
      </c>
      <c r="I11" s="6">
        <f t="shared" si="1"/>
        <v>2250</v>
      </c>
      <c r="J11" s="6">
        <f t="shared" ref="J11:O11" si="2">-J30/J20</f>
        <v>2500</v>
      </c>
      <c r="K11" s="6">
        <f t="shared" si="2"/>
        <v>2750</v>
      </c>
      <c r="L11" s="6">
        <f t="shared" si="2"/>
        <v>3000</v>
      </c>
      <c r="M11" s="6">
        <f t="shared" si="2"/>
        <v>3250</v>
      </c>
      <c r="N11" s="6">
        <f t="shared" si="2"/>
        <v>3500</v>
      </c>
      <c r="O11" s="6">
        <f t="shared" si="2"/>
        <v>3750</v>
      </c>
    </row>
    <row r="12" spans="2:15" x14ac:dyDescent="0.3">
      <c r="B12" t="s">
        <v>17</v>
      </c>
      <c r="D12" s="6">
        <f>SUM(D10:D11)</f>
        <v>1500</v>
      </c>
      <c r="E12" s="6">
        <f t="shared" ref="E12:I12" si="3">SUM(E10:E11)</f>
        <v>1900</v>
      </c>
      <c r="F12" s="6">
        <f t="shared" si="3"/>
        <v>2345</v>
      </c>
      <c r="G12" s="6">
        <f t="shared" si="3"/>
        <v>2848.5</v>
      </c>
      <c r="H12" s="6">
        <f t="shared" si="3"/>
        <v>3428.05</v>
      </c>
      <c r="I12" s="6">
        <f t="shared" si="3"/>
        <v>4106.4650000000001</v>
      </c>
      <c r="J12" s="6">
        <f t="shared" ref="J12" si="4">SUM(J10:J11)</f>
        <v>4913.4045000000006</v>
      </c>
      <c r="K12" s="6">
        <f t="shared" ref="K12" si="5">SUM(K10:K11)</f>
        <v>5887.4258499999996</v>
      </c>
      <c r="L12" s="6">
        <f t="shared" ref="L12" si="6">SUM(L10:L11)</f>
        <v>7078.6536050000004</v>
      </c>
      <c r="M12" s="6">
        <f t="shared" ref="M12" si="7">SUM(M10:M11)</f>
        <v>8552.2496864999994</v>
      </c>
      <c r="N12" s="6">
        <f t="shared" ref="N12" si="8">SUM(N10:N11)</f>
        <v>10392.924592450001</v>
      </c>
      <c r="O12" s="6">
        <f t="shared" ref="O12" si="9">SUM(O10:O11)</f>
        <v>12710.801970185001</v>
      </c>
    </row>
    <row r="14" spans="2:15" x14ac:dyDescent="0.3">
      <c r="B14" t="s">
        <v>18</v>
      </c>
      <c r="D14" s="10">
        <v>0.02</v>
      </c>
      <c r="E14" s="10">
        <f>D14+0.1%</f>
        <v>2.1000000000000001E-2</v>
      </c>
      <c r="F14" s="10">
        <f t="shared" ref="F14:I14" si="10">E14+0.1%</f>
        <v>2.2000000000000002E-2</v>
      </c>
      <c r="G14" s="10">
        <f t="shared" si="10"/>
        <v>2.3000000000000003E-2</v>
      </c>
      <c r="H14" s="10">
        <f t="shared" si="10"/>
        <v>2.4000000000000004E-2</v>
      </c>
      <c r="I14" s="10">
        <f t="shared" si="10"/>
        <v>2.5000000000000005E-2</v>
      </c>
      <c r="J14" s="10">
        <f t="shared" ref="J14:O14" si="11">I14+0.1%</f>
        <v>2.6000000000000006E-2</v>
      </c>
      <c r="K14" s="10">
        <f t="shared" si="11"/>
        <v>2.7000000000000007E-2</v>
      </c>
      <c r="L14" s="10">
        <f t="shared" si="11"/>
        <v>2.8000000000000008E-2</v>
      </c>
      <c r="M14" s="10">
        <f t="shared" si="11"/>
        <v>2.9000000000000008E-2</v>
      </c>
      <c r="N14" s="10">
        <f t="shared" si="11"/>
        <v>3.0000000000000009E-2</v>
      </c>
      <c r="O14" s="10">
        <f t="shared" si="11"/>
        <v>3.100000000000001E-2</v>
      </c>
    </row>
    <row r="16" spans="2:15" x14ac:dyDescent="0.3">
      <c r="B16" t="s">
        <v>19</v>
      </c>
      <c r="D16" s="6">
        <f>D12*D14</f>
        <v>30</v>
      </c>
      <c r="E16" s="6">
        <f t="shared" ref="E16:I16" si="12">E12*E14</f>
        <v>39.900000000000006</v>
      </c>
      <c r="F16" s="6">
        <f t="shared" si="12"/>
        <v>51.59</v>
      </c>
      <c r="G16" s="6">
        <f t="shared" si="12"/>
        <v>65.515500000000003</v>
      </c>
      <c r="H16" s="6">
        <f t="shared" si="12"/>
        <v>82.273200000000017</v>
      </c>
      <c r="I16" s="6">
        <f t="shared" si="12"/>
        <v>102.66162500000003</v>
      </c>
      <c r="J16" s="6">
        <f t="shared" ref="J16:O16" si="13">J12*J14</f>
        <v>127.74851700000005</v>
      </c>
      <c r="K16" s="6">
        <f t="shared" si="13"/>
        <v>158.96049795000002</v>
      </c>
      <c r="L16" s="6">
        <f t="shared" si="13"/>
        <v>198.20230094000007</v>
      </c>
      <c r="M16" s="6">
        <f t="shared" si="13"/>
        <v>248.01524090850006</v>
      </c>
      <c r="N16" s="6">
        <f t="shared" si="13"/>
        <v>311.78773777350011</v>
      </c>
      <c r="O16" s="6">
        <f t="shared" si="13"/>
        <v>394.03486107573514</v>
      </c>
    </row>
    <row r="17" spans="2:15" x14ac:dyDescent="0.3"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spans="2:15" x14ac:dyDescent="0.3">
      <c r="B18" t="s">
        <v>20</v>
      </c>
      <c r="D18" s="8">
        <v>100</v>
      </c>
      <c r="E18" s="8">
        <f>D18</f>
        <v>100</v>
      </c>
      <c r="F18" s="8">
        <f t="shared" ref="F18:O18" si="14">E18</f>
        <v>100</v>
      </c>
      <c r="G18" s="8">
        <f t="shared" si="14"/>
        <v>100</v>
      </c>
      <c r="H18" s="8">
        <f t="shared" si="14"/>
        <v>100</v>
      </c>
      <c r="I18" s="8">
        <f t="shared" si="14"/>
        <v>100</v>
      </c>
      <c r="J18" s="8">
        <f t="shared" si="14"/>
        <v>100</v>
      </c>
      <c r="K18" s="8">
        <f t="shared" si="14"/>
        <v>100</v>
      </c>
      <c r="L18" s="8">
        <f t="shared" si="14"/>
        <v>100</v>
      </c>
      <c r="M18" s="8">
        <f t="shared" si="14"/>
        <v>100</v>
      </c>
      <c r="N18" s="8">
        <f t="shared" si="14"/>
        <v>100</v>
      </c>
      <c r="O18" s="8">
        <f t="shared" si="14"/>
        <v>100</v>
      </c>
    </row>
    <row r="19" spans="2:15" x14ac:dyDescent="0.3"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spans="2:15" x14ac:dyDescent="0.3">
      <c r="B20" t="s">
        <v>28</v>
      </c>
      <c r="D20" s="7">
        <v>2</v>
      </c>
      <c r="E20" s="7">
        <f>D20</f>
        <v>2</v>
      </c>
      <c r="F20" s="7">
        <f t="shared" ref="F20:O20" si="15">E20</f>
        <v>2</v>
      </c>
      <c r="G20" s="7">
        <f t="shared" si="15"/>
        <v>2</v>
      </c>
      <c r="H20" s="7">
        <f t="shared" si="15"/>
        <v>2</v>
      </c>
      <c r="I20" s="7">
        <f t="shared" si="15"/>
        <v>2</v>
      </c>
      <c r="J20" s="7">
        <f t="shared" si="15"/>
        <v>2</v>
      </c>
      <c r="K20" s="7">
        <f t="shared" si="15"/>
        <v>2</v>
      </c>
      <c r="L20" s="7">
        <f t="shared" si="15"/>
        <v>2</v>
      </c>
      <c r="M20" s="7">
        <f t="shared" si="15"/>
        <v>2</v>
      </c>
      <c r="N20" s="7">
        <f t="shared" si="15"/>
        <v>2</v>
      </c>
      <c r="O20" s="7">
        <f t="shared" si="15"/>
        <v>2</v>
      </c>
    </row>
    <row r="22" spans="2:15" x14ac:dyDescent="0.3">
      <c r="B22" t="s">
        <v>21</v>
      </c>
      <c r="D22" s="6">
        <f>D16*D18</f>
        <v>3000</v>
      </c>
      <c r="E22" s="6">
        <f t="shared" ref="E22:I22" si="16">E16*E18</f>
        <v>3990.0000000000005</v>
      </c>
      <c r="F22" s="6">
        <f t="shared" si="16"/>
        <v>5159</v>
      </c>
      <c r="G22" s="6">
        <f t="shared" si="16"/>
        <v>6551.55</v>
      </c>
      <c r="H22" s="6">
        <f t="shared" si="16"/>
        <v>8227.3200000000015</v>
      </c>
      <c r="I22" s="6">
        <f t="shared" si="16"/>
        <v>10266.162500000002</v>
      </c>
      <c r="J22" s="6">
        <f t="shared" ref="J22:O22" si="17">J16*J18</f>
        <v>12774.851700000005</v>
      </c>
      <c r="K22" s="6">
        <f t="shared" si="17"/>
        <v>15896.049795000003</v>
      </c>
      <c r="L22" s="6">
        <f t="shared" si="17"/>
        <v>19820.230094000006</v>
      </c>
      <c r="M22" s="6">
        <f t="shared" si="17"/>
        <v>24801.524090850005</v>
      </c>
      <c r="N22" s="6">
        <f t="shared" si="17"/>
        <v>31178.773777350012</v>
      </c>
      <c r="O22" s="6">
        <f t="shared" si="17"/>
        <v>39403.486107573517</v>
      </c>
    </row>
    <row r="24" spans="2:15" x14ac:dyDescent="0.3">
      <c r="B24" t="s">
        <v>22</v>
      </c>
      <c r="D24" s="6">
        <f>D25*D22</f>
        <v>1200</v>
      </c>
      <c r="E24" s="6">
        <f t="shared" ref="E24:I24" si="18">E25*E22</f>
        <v>1596.0000000000002</v>
      </c>
      <c r="F24" s="6">
        <f t="shared" si="18"/>
        <v>2063.6</v>
      </c>
      <c r="G24" s="6">
        <f t="shared" si="18"/>
        <v>2620.6200000000003</v>
      </c>
      <c r="H24" s="6">
        <f t="shared" si="18"/>
        <v>3290.9280000000008</v>
      </c>
      <c r="I24" s="6">
        <f t="shared" si="18"/>
        <v>4106.4650000000011</v>
      </c>
      <c r="J24" s="6">
        <f t="shared" ref="J24" si="19">J25*J22</f>
        <v>5109.9406800000024</v>
      </c>
      <c r="K24" s="6">
        <f t="shared" ref="K24" si="20">K25*K22</f>
        <v>6358.4199180000014</v>
      </c>
      <c r="L24" s="6">
        <f t="shared" ref="L24" si="21">L25*L22</f>
        <v>7928.0920376000031</v>
      </c>
      <c r="M24" s="6">
        <f t="shared" ref="M24" si="22">M25*M22</f>
        <v>9920.6096363400029</v>
      </c>
      <c r="N24" s="6">
        <f t="shared" ref="N24" si="23">N25*N22</f>
        <v>12471.509510940006</v>
      </c>
      <c r="O24" s="6">
        <f t="shared" ref="O24" si="24">O25*O22</f>
        <v>15761.394443029407</v>
      </c>
    </row>
    <row r="25" spans="2:15" x14ac:dyDescent="0.3">
      <c r="B25" t="s">
        <v>24</v>
      </c>
      <c r="D25" s="5">
        <v>0.4</v>
      </c>
      <c r="E25" s="5">
        <f>D25</f>
        <v>0.4</v>
      </c>
      <c r="F25" s="5">
        <f t="shared" ref="F25:I25" si="25">E25</f>
        <v>0.4</v>
      </c>
      <c r="G25" s="5">
        <f t="shared" si="25"/>
        <v>0.4</v>
      </c>
      <c r="H25" s="5">
        <f t="shared" si="25"/>
        <v>0.4</v>
      </c>
      <c r="I25" s="5">
        <f t="shared" si="25"/>
        <v>0.4</v>
      </c>
      <c r="J25" s="5">
        <f t="shared" ref="J25:O25" si="26">I25</f>
        <v>0.4</v>
      </c>
      <c r="K25" s="5">
        <f t="shared" si="26"/>
        <v>0.4</v>
      </c>
      <c r="L25" s="5">
        <f t="shared" si="26"/>
        <v>0.4</v>
      </c>
      <c r="M25" s="5">
        <f t="shared" si="26"/>
        <v>0.4</v>
      </c>
      <c r="N25" s="5">
        <f t="shared" si="26"/>
        <v>0.4</v>
      </c>
      <c r="O25" s="5">
        <f t="shared" si="26"/>
        <v>0.4</v>
      </c>
    </row>
    <row r="27" spans="2:15" x14ac:dyDescent="0.3">
      <c r="B27" t="s">
        <v>29</v>
      </c>
      <c r="D27" s="6">
        <f>D28*D22</f>
        <v>-600</v>
      </c>
      <c r="E27" s="6">
        <f t="shared" ref="E27:I27" si="27">E28*E22</f>
        <v>-798.00000000000011</v>
      </c>
      <c r="F27" s="6">
        <f t="shared" si="27"/>
        <v>-1031.8</v>
      </c>
      <c r="G27" s="6">
        <f t="shared" si="27"/>
        <v>-1310.3100000000002</v>
      </c>
      <c r="H27" s="6">
        <f t="shared" si="27"/>
        <v>-1645.4640000000004</v>
      </c>
      <c r="I27" s="6">
        <f t="shared" si="27"/>
        <v>-2053.2325000000005</v>
      </c>
      <c r="J27" s="6">
        <f t="shared" ref="J27" si="28">J28*J22</f>
        <v>-2554.9703400000012</v>
      </c>
      <c r="K27" s="6">
        <f t="shared" ref="K27" si="29">K28*K22</f>
        <v>-3179.2099590000007</v>
      </c>
      <c r="L27" s="6">
        <f t="shared" ref="L27" si="30">L28*L22</f>
        <v>-3964.0460188000015</v>
      </c>
      <c r="M27" s="6">
        <f t="shared" ref="M27" si="31">M28*M22</f>
        <v>-4960.3048181700015</v>
      </c>
      <c r="N27" s="6">
        <f t="shared" ref="N27" si="32">N28*N22</f>
        <v>-6235.7547554700031</v>
      </c>
      <c r="O27" s="6">
        <f t="shared" ref="O27" si="33">O28*O22</f>
        <v>-7880.6972215147034</v>
      </c>
    </row>
    <row r="28" spans="2:15" x14ac:dyDescent="0.3">
      <c r="B28" t="s">
        <v>23</v>
      </c>
      <c r="D28" s="5">
        <v>-0.2</v>
      </c>
      <c r="E28" s="5">
        <f>D28</f>
        <v>-0.2</v>
      </c>
      <c r="F28" s="5">
        <f t="shared" ref="F28:I28" si="34">E28</f>
        <v>-0.2</v>
      </c>
      <c r="G28" s="5">
        <f t="shared" si="34"/>
        <v>-0.2</v>
      </c>
      <c r="H28" s="5">
        <f t="shared" si="34"/>
        <v>-0.2</v>
      </c>
      <c r="I28" s="5">
        <f t="shared" si="34"/>
        <v>-0.2</v>
      </c>
      <c r="J28" s="5">
        <f t="shared" ref="J28:O28" si="35">I28</f>
        <v>-0.2</v>
      </c>
      <c r="K28" s="5">
        <f t="shared" si="35"/>
        <v>-0.2</v>
      </c>
      <c r="L28" s="5">
        <f t="shared" si="35"/>
        <v>-0.2</v>
      </c>
      <c r="M28" s="5">
        <f t="shared" si="35"/>
        <v>-0.2</v>
      </c>
      <c r="N28" s="5">
        <f t="shared" si="35"/>
        <v>-0.2</v>
      </c>
      <c r="O28" s="5">
        <f t="shared" si="35"/>
        <v>-0.2</v>
      </c>
    </row>
    <row r="30" spans="2:15" x14ac:dyDescent="0.3">
      <c r="B30" t="s">
        <v>25</v>
      </c>
      <c r="D30" s="9">
        <v>-2000</v>
      </c>
      <c r="E30" s="9">
        <f>D30-500</f>
        <v>-2500</v>
      </c>
      <c r="F30" s="9">
        <f t="shared" ref="F30:O30" si="36">E30-500</f>
        <v>-3000</v>
      </c>
      <c r="G30" s="9">
        <f t="shared" si="36"/>
        <v>-3500</v>
      </c>
      <c r="H30" s="9">
        <f t="shared" si="36"/>
        <v>-4000</v>
      </c>
      <c r="I30" s="9">
        <f t="shared" si="36"/>
        <v>-4500</v>
      </c>
      <c r="J30" s="9">
        <f t="shared" si="36"/>
        <v>-5000</v>
      </c>
      <c r="K30" s="9">
        <f t="shared" si="36"/>
        <v>-5500</v>
      </c>
      <c r="L30" s="9">
        <f t="shared" si="36"/>
        <v>-6000</v>
      </c>
      <c r="M30" s="9">
        <f t="shared" si="36"/>
        <v>-6500</v>
      </c>
      <c r="N30" s="9">
        <f t="shared" si="36"/>
        <v>-7000</v>
      </c>
      <c r="O30" s="9">
        <f t="shared" si="36"/>
        <v>-7500</v>
      </c>
    </row>
    <row r="31" spans="2:15" x14ac:dyDescent="0.3">
      <c r="B31" t="s">
        <v>26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2:15" x14ac:dyDescent="0.3">
      <c r="B32" t="s">
        <v>27</v>
      </c>
      <c r="D32" s="6">
        <f>SUM(D30:D31)</f>
        <v>-2000</v>
      </c>
      <c r="E32" s="6">
        <f t="shared" ref="E32:I32" si="37">SUM(E30:E31)</f>
        <v>-2500</v>
      </c>
      <c r="F32" s="6">
        <f t="shared" si="37"/>
        <v>-3000</v>
      </c>
      <c r="G32" s="6">
        <f t="shared" si="37"/>
        <v>-3500</v>
      </c>
      <c r="H32" s="6">
        <f t="shared" si="37"/>
        <v>-4000</v>
      </c>
      <c r="I32" s="6">
        <f t="shared" si="37"/>
        <v>-4500</v>
      </c>
      <c r="J32" s="6">
        <f t="shared" ref="J32" si="38">SUM(J30:J31)</f>
        <v>-5000</v>
      </c>
      <c r="K32" s="6">
        <f t="shared" ref="K32" si="39">SUM(K30:K31)</f>
        <v>-5500</v>
      </c>
      <c r="L32" s="6">
        <f t="shared" ref="L32" si="40">SUM(L30:L31)</f>
        <v>-6000</v>
      </c>
      <c r="M32" s="6">
        <f t="shared" ref="M32" si="41">SUM(M30:M31)</f>
        <v>-6500</v>
      </c>
      <c r="N32" s="6">
        <f t="shared" ref="N32" si="42">SUM(N30:N31)</f>
        <v>-7000</v>
      </c>
      <c r="O32" s="6">
        <f t="shared" ref="O32" si="43">SUM(O30:O31)</f>
        <v>-7500</v>
      </c>
    </row>
    <row r="33" spans="2:15" x14ac:dyDescent="0.3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</row>
    <row r="34" spans="2:15" x14ac:dyDescent="0.3">
      <c r="B34" t="s">
        <v>30</v>
      </c>
      <c r="D34" s="6">
        <f>D24+D27+D32</f>
        <v>-1400</v>
      </c>
      <c r="E34" s="6">
        <f t="shared" ref="E34:I34" si="44">E24+E27+E32</f>
        <v>-1702</v>
      </c>
      <c r="F34" s="6">
        <f t="shared" si="44"/>
        <v>-1968.2</v>
      </c>
      <c r="G34" s="6">
        <f t="shared" si="44"/>
        <v>-2189.6899999999996</v>
      </c>
      <c r="H34" s="6">
        <f t="shared" si="44"/>
        <v>-2354.5359999999996</v>
      </c>
      <c r="I34" s="6">
        <f t="shared" si="44"/>
        <v>-2446.7674999999995</v>
      </c>
      <c r="J34" s="6">
        <f t="shared" ref="J34:O34" si="45">J24+J27+J32</f>
        <v>-2445.0296599999988</v>
      </c>
      <c r="K34" s="6">
        <f t="shared" si="45"/>
        <v>-2320.7900409999993</v>
      </c>
      <c r="L34" s="6">
        <f t="shared" si="45"/>
        <v>-2035.9539811999985</v>
      </c>
      <c r="M34" s="6">
        <f t="shared" si="45"/>
        <v>-1539.6951818299985</v>
      </c>
      <c r="N34" s="6">
        <f t="shared" si="45"/>
        <v>-764.24524452999685</v>
      </c>
      <c r="O34" s="6">
        <f t="shared" si="45"/>
        <v>380.69722151470341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GTSE | Matthew Harrison</dc:creator>
  <cp:lastModifiedBy>GTSE | Matthew Harrison</cp:lastModifiedBy>
  <dcterms:created xsi:type="dcterms:W3CDTF">2025-12-17T16:22:59Z</dcterms:created>
  <dcterms:modified xsi:type="dcterms:W3CDTF">2025-12-18T14:20:16Z</dcterms:modified>
</cp:coreProperties>
</file>